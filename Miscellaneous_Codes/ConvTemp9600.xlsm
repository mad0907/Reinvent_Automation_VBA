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filterPrivacy="1" codeName="ThisWorkbook" defaultThemeVersion="124226"/>
  <xr:revisionPtr revIDLastSave="0" documentId="13_ncr:1_{704B2CF6-75FD-473B-A2A2-C3A72767EF90}" xr6:coauthVersionLast="41" xr6:coauthVersionMax="41" xr10:uidLastSave="{00000000-0000-0000-0000-000000000000}"/>
  <bookViews>
    <workbookView xWindow="9630" yWindow="480" windowWidth="10770" windowHeight="10440" xr2:uid="{00000000-000D-0000-FFFF-FFFF00000000}"/>
  </bookViews>
  <sheets>
    <sheet name="Provision" sheetId="1" r:id="rId1"/>
    <sheet name="Working" sheetId="2" r:id="rId2"/>
  </sheets>
  <externalReferences>
    <externalReference r:id="rId3"/>
  </externalReferences>
  <definedNames>
    <definedName name="_xlnm._FilterDatabase" localSheetId="0" hidden="1">Provision!$A$1:$P$39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33" i="1" l="1"/>
  <c r="N32" i="1"/>
  <c r="L32" i="1"/>
  <c r="P31" i="1"/>
  <c r="K31" i="1"/>
  <c r="O30" i="1"/>
  <c r="P30" i="1" s="1"/>
  <c r="M30" i="1"/>
  <c r="K30" i="1"/>
  <c r="O29" i="1"/>
  <c r="P29" i="1" s="1"/>
  <c r="M29" i="1"/>
  <c r="K29" i="1"/>
  <c r="O28" i="1"/>
  <c r="P28" i="1" s="1"/>
  <c r="M28" i="1"/>
  <c r="K28" i="1"/>
  <c r="O27" i="1"/>
  <c r="P27" i="1" s="1"/>
  <c r="M27" i="1"/>
  <c r="K27" i="1"/>
  <c r="O26" i="1"/>
  <c r="P26" i="1" s="1"/>
  <c r="M26" i="1"/>
  <c r="K26" i="1"/>
  <c r="O25" i="1"/>
  <c r="P25" i="1" s="1"/>
  <c r="M25" i="1"/>
  <c r="K25" i="1"/>
  <c r="O24" i="1"/>
  <c r="P24" i="1" s="1"/>
  <c r="M24" i="1"/>
  <c r="K24" i="1"/>
  <c r="O23" i="1"/>
  <c r="P23" i="1" s="1"/>
  <c r="M23" i="1"/>
  <c r="K23" i="1"/>
  <c r="O22" i="1"/>
  <c r="P22" i="1" s="1"/>
  <c r="M22" i="1"/>
  <c r="K22" i="1"/>
  <c r="O21" i="1"/>
  <c r="P21" i="1" s="1"/>
  <c r="M21" i="1"/>
  <c r="K21" i="1"/>
  <c r="O20" i="1"/>
  <c r="P20" i="1" s="1"/>
  <c r="M20" i="1"/>
  <c r="K20" i="1"/>
  <c r="O19" i="1"/>
  <c r="P19" i="1" s="1"/>
  <c r="M19" i="1"/>
  <c r="K19" i="1"/>
  <c r="O18" i="1"/>
  <c r="P18" i="1" s="1"/>
  <c r="M18" i="1"/>
  <c r="K18" i="1"/>
  <c r="O17" i="1"/>
  <c r="P17" i="1" s="1"/>
  <c r="M17" i="1"/>
  <c r="K17" i="1"/>
  <c r="O16" i="1"/>
  <c r="P16" i="1" s="1"/>
  <c r="M16" i="1"/>
  <c r="K16" i="1"/>
  <c r="O15" i="1"/>
  <c r="P15" i="1" s="1"/>
  <c r="M15" i="1"/>
  <c r="K15" i="1"/>
  <c r="O14" i="1"/>
  <c r="P14" i="1" s="1"/>
  <c r="M14" i="1"/>
  <c r="K14" i="1"/>
  <c r="O13" i="1"/>
  <c r="P13" i="1" s="1"/>
  <c r="M13" i="1"/>
  <c r="K13" i="1"/>
  <c r="O12" i="1"/>
  <c r="P12" i="1" s="1"/>
  <c r="M12" i="1"/>
  <c r="K12" i="1"/>
  <c r="O11" i="1"/>
  <c r="P11" i="1" s="1"/>
  <c r="M11" i="1"/>
  <c r="K11" i="1"/>
  <c r="O10" i="1"/>
  <c r="P10" i="1" s="1"/>
  <c r="M10" i="1"/>
  <c r="K10" i="1"/>
  <c r="O9" i="1"/>
  <c r="P9" i="1" s="1"/>
  <c r="M9" i="1"/>
  <c r="K9" i="1"/>
  <c r="O8" i="1"/>
  <c r="P8" i="1" s="1"/>
  <c r="M8" i="1"/>
  <c r="K8" i="1"/>
  <c r="O7" i="1"/>
  <c r="P7" i="1" s="1"/>
  <c r="M7" i="1"/>
  <c r="K7" i="1"/>
  <c r="O6" i="1"/>
  <c r="P6" i="1" s="1"/>
  <c r="M6" i="1"/>
  <c r="K6" i="1"/>
  <c r="O5" i="1"/>
  <c r="P5" i="1" s="1"/>
  <c r="M5" i="1"/>
  <c r="K5" i="1"/>
  <c r="O4" i="1"/>
  <c r="P4" i="1" s="1"/>
  <c r="M4" i="1"/>
  <c r="K4" i="1"/>
  <c r="O3" i="1"/>
  <c r="P3" i="1" s="1"/>
  <c r="M3" i="1"/>
  <c r="K3" i="1"/>
  <c r="O2" i="1"/>
  <c r="P2" i="1" s="1"/>
  <c r="M2" i="1"/>
  <c r="M32" i="1" s="1"/>
  <c r="K2" i="1"/>
  <c r="K32" i="1" s="1"/>
  <c r="O32" i="1" s="1"/>
  <c r="H7" i="2"/>
  <c r="F7" i="2"/>
  <c r="E7" i="2"/>
  <c r="D7" i="2"/>
  <c r="F6" i="2"/>
  <c r="E6" i="2"/>
  <c r="H6" i="2" s="1"/>
  <c r="A2" i="2"/>
  <c r="A1" i="2"/>
  <c r="H21" i="2"/>
  <c r="F21" i="2"/>
  <c r="E21" i="2"/>
  <c r="D21" i="2"/>
  <c r="D27" i="2"/>
  <c r="F26" i="2"/>
  <c r="F27" i="2" s="1"/>
  <c r="E26" i="2"/>
  <c r="D183" i="2"/>
  <c r="F182" i="2"/>
  <c r="F183" i="2" s="1"/>
  <c r="E182" i="2"/>
  <c r="D189" i="2"/>
  <c r="F188" i="2"/>
  <c r="E188" i="2"/>
  <c r="F187" i="2"/>
  <c r="E187" i="2"/>
  <c r="D77" i="2"/>
  <c r="F76" i="2"/>
  <c r="E76" i="2"/>
  <c r="F75" i="2"/>
  <c r="E75" i="2"/>
  <c r="F74" i="2"/>
  <c r="E74" i="2"/>
  <c r="D84" i="2"/>
  <c r="F83" i="2"/>
  <c r="E83" i="2"/>
  <c r="F82" i="2"/>
  <c r="E82" i="2"/>
  <c r="F157" i="2"/>
  <c r="E157" i="2"/>
  <c r="D157" i="2"/>
  <c r="H156" i="2"/>
  <c r="H157" i="2" s="1"/>
  <c r="D172" i="2"/>
  <c r="F170" i="2"/>
  <c r="F172" i="2" s="1"/>
  <c r="E170" i="2"/>
  <c r="D165" i="2"/>
  <c r="F164" i="2"/>
  <c r="E164" i="2"/>
  <c r="F163" i="2"/>
  <c r="E163" i="2"/>
  <c r="F162" i="2"/>
  <c r="E162" i="2"/>
  <c r="D34" i="2"/>
  <c r="F33" i="2"/>
  <c r="E33" i="2"/>
  <c r="F32" i="2"/>
  <c r="E32" i="2"/>
  <c r="D137" i="2"/>
  <c r="F136" i="2"/>
  <c r="E136" i="2"/>
  <c r="F135" i="2"/>
  <c r="E135" i="2"/>
  <c r="D142" i="2"/>
  <c r="F141" i="2"/>
  <c r="F142" i="2" s="1"/>
  <c r="E141" i="2"/>
  <c r="D130" i="2"/>
  <c r="F129" i="2"/>
  <c r="E129" i="2"/>
  <c r="F128" i="2"/>
  <c r="E128" i="2"/>
  <c r="F127" i="2"/>
  <c r="E127" i="2"/>
  <c r="F126" i="2"/>
  <c r="E126" i="2"/>
  <c r="F122" i="2"/>
  <c r="E122" i="2"/>
  <c r="D122" i="2"/>
  <c r="H121" i="2"/>
  <c r="H122" i="2" s="1"/>
  <c r="D57" i="2"/>
  <c r="F56" i="2"/>
  <c r="F57" i="2" s="1"/>
  <c r="E56" i="2"/>
  <c r="F152" i="2"/>
  <c r="E152" i="2"/>
  <c r="D152" i="2"/>
  <c r="H151" i="2"/>
  <c r="H152" i="2" s="1"/>
  <c r="D117" i="2"/>
  <c r="F116" i="2"/>
  <c r="F117" i="2" s="1"/>
  <c r="E116" i="2"/>
  <c r="H115" i="2"/>
  <c r="F111" i="2"/>
  <c r="E111" i="2"/>
  <c r="D111" i="2"/>
  <c r="H110" i="2"/>
  <c r="H111" i="2" s="1"/>
  <c r="F106" i="2"/>
  <c r="E106" i="2"/>
  <c r="D106" i="2"/>
  <c r="H105" i="2"/>
  <c r="H106" i="2" s="1"/>
  <c r="F101" i="2"/>
  <c r="E101" i="2"/>
  <c r="D101" i="2"/>
  <c r="H100" i="2"/>
  <c r="H101" i="2" s="1"/>
  <c r="D96" i="2"/>
  <c r="F95" i="2"/>
  <c r="F96" i="2" s="1"/>
  <c r="E95" i="2"/>
  <c r="D52" i="2"/>
  <c r="F51" i="2"/>
  <c r="F52" i="2" s="1"/>
  <c r="E51" i="2"/>
  <c r="H147" i="2"/>
  <c r="F147" i="2"/>
  <c r="E147" i="2"/>
  <c r="D147" i="2"/>
  <c r="H177" i="2"/>
  <c r="F177" i="2"/>
  <c r="E177" i="2"/>
  <c r="D177" i="2"/>
  <c r="D90" i="2"/>
  <c r="F89" i="2"/>
  <c r="E89" i="2"/>
  <c r="F88" i="2"/>
  <c r="E88" i="2"/>
  <c r="D69" i="2"/>
  <c r="F68" i="2"/>
  <c r="E68" i="2"/>
  <c r="F67" i="2"/>
  <c r="E67" i="2"/>
  <c r="F66" i="2"/>
  <c r="E66" i="2"/>
  <c r="D62" i="2"/>
  <c r="F61" i="2"/>
  <c r="F62" i="2" s="1"/>
  <c r="E61" i="2"/>
  <c r="H39" i="2"/>
  <c r="F39" i="2"/>
  <c r="E39" i="2"/>
  <c r="D39" i="2"/>
  <c r="D46" i="2"/>
  <c r="F45" i="2"/>
  <c r="E45" i="2"/>
  <c r="F44" i="2"/>
  <c r="E44" i="2"/>
  <c r="F43" i="2"/>
  <c r="E43" i="2"/>
  <c r="P32" i="1" l="1"/>
  <c r="H76" i="2"/>
  <c r="H182" i="2"/>
  <c r="H183" i="2" s="1"/>
  <c r="F189" i="2"/>
  <c r="H164" i="2"/>
  <c r="H188" i="2"/>
  <c r="H26" i="2"/>
  <c r="H27" i="2" s="1"/>
  <c r="E27" i="2"/>
  <c r="H83" i="2"/>
  <c r="H187" i="2"/>
  <c r="E183" i="2"/>
  <c r="H75" i="2"/>
  <c r="E189" i="2"/>
  <c r="H74" i="2"/>
  <c r="H77" i="2" s="1"/>
  <c r="E77" i="2"/>
  <c r="F77" i="2"/>
  <c r="H82" i="2"/>
  <c r="H84" i="2" s="1"/>
  <c r="F84" i="2"/>
  <c r="E84" i="2"/>
  <c r="H170" i="2"/>
  <c r="H172" i="2" s="1"/>
  <c r="H129" i="2"/>
  <c r="H136" i="2"/>
  <c r="E165" i="2"/>
  <c r="E172" i="2"/>
  <c r="H135" i="2"/>
  <c r="H162" i="2"/>
  <c r="H163" i="2"/>
  <c r="H33" i="2"/>
  <c r="F165" i="2"/>
  <c r="F137" i="2"/>
  <c r="H32" i="2"/>
  <c r="F34" i="2"/>
  <c r="E34" i="2"/>
  <c r="E137" i="2"/>
  <c r="F130" i="2"/>
  <c r="H141" i="2"/>
  <c r="H142" i="2" s="1"/>
  <c r="H128" i="2"/>
  <c r="E142" i="2"/>
  <c r="H126" i="2"/>
  <c r="E130" i="2"/>
  <c r="H127" i="2"/>
  <c r="H95" i="2"/>
  <c r="H96" i="2" s="1"/>
  <c r="H116" i="2"/>
  <c r="H117" i="2" s="1"/>
  <c r="H56" i="2"/>
  <c r="H57" i="2" s="1"/>
  <c r="E57" i="2"/>
  <c r="E117" i="2"/>
  <c r="H68" i="2"/>
  <c r="H51" i="2"/>
  <c r="H52" i="2" s="1"/>
  <c r="E96" i="2"/>
  <c r="E52" i="2"/>
  <c r="H61" i="2"/>
  <c r="H62" i="2" s="1"/>
  <c r="H66" i="2"/>
  <c r="H89" i="2"/>
  <c r="F90" i="2"/>
  <c r="H88" i="2"/>
  <c r="E90" i="2"/>
  <c r="E69" i="2"/>
  <c r="H67" i="2"/>
  <c r="F69" i="2"/>
  <c r="E62" i="2"/>
  <c r="H44" i="2"/>
  <c r="F46" i="2"/>
  <c r="H45" i="2"/>
  <c r="E46" i="2"/>
  <c r="H43" i="2"/>
  <c r="H189" i="2" l="1"/>
  <c r="H137" i="2"/>
  <c r="H34" i="2"/>
  <c r="H165" i="2"/>
  <c r="H130" i="2"/>
  <c r="H90" i="2"/>
  <c r="H69" i="2"/>
  <c r="H46" i="2"/>
  <c r="I31" i="1" l="1"/>
  <c r="H31" i="1" l="1"/>
  <c r="J31" i="1" s="1"/>
  <c r="I30" i="1"/>
  <c r="H30" i="1"/>
  <c r="J30" i="1" l="1"/>
  <c r="I14" i="1" l="1"/>
  <c r="I20" i="1"/>
  <c r="I25" i="1"/>
  <c r="I28" i="1"/>
  <c r="I26" i="1"/>
  <c r="I2" i="1"/>
  <c r="I5" i="1"/>
  <c r="I10" i="1"/>
  <c r="I21" i="1"/>
  <c r="I9" i="1"/>
  <c r="I22" i="1"/>
  <c r="I18" i="1"/>
  <c r="I6" i="1"/>
  <c r="Z1" i="1" l="1"/>
  <c r="G32" i="1" l="1"/>
  <c r="H29" i="1" l="1"/>
  <c r="H28" i="1"/>
  <c r="J28" i="1" s="1"/>
  <c r="H27" i="1"/>
  <c r="H26" i="1"/>
  <c r="J26" i="1" s="1"/>
  <c r="H25" i="1"/>
  <c r="J25" i="1" s="1"/>
  <c r="H24" i="1"/>
  <c r="H23" i="1"/>
  <c r="H22" i="1"/>
  <c r="J22" i="1" s="1"/>
  <c r="H21" i="1"/>
  <c r="J21" i="1" s="1"/>
  <c r="H20" i="1"/>
  <c r="J20" i="1" s="1"/>
  <c r="H19" i="1"/>
  <c r="H18" i="1"/>
  <c r="J18" i="1" s="1"/>
  <c r="H17" i="1"/>
  <c r="H16" i="1"/>
  <c r="H15" i="1"/>
  <c r="H14" i="1"/>
  <c r="J14" i="1" s="1"/>
  <c r="H13" i="1"/>
  <c r="H12" i="1"/>
  <c r="H11" i="1"/>
  <c r="H10" i="1"/>
  <c r="J10" i="1" s="1"/>
  <c r="H9" i="1"/>
  <c r="J9" i="1" s="1"/>
  <c r="H8" i="1"/>
  <c r="H7" i="1"/>
  <c r="H6" i="1"/>
  <c r="J6" i="1" s="1"/>
  <c r="H5" i="1"/>
  <c r="J5" i="1" s="1"/>
  <c r="H4" i="1"/>
  <c r="H3" i="1"/>
  <c r="H2" i="1"/>
  <c r="J2" i="1" s="1"/>
  <c r="H32" i="1" l="1"/>
  <c r="F32" i="1"/>
  <c r="E32" i="1" l="1"/>
  <c r="I29" i="1" l="1"/>
  <c r="J29" i="1" s="1"/>
  <c r="I27" i="1"/>
  <c r="J27" i="1" s="1"/>
  <c r="I24" i="1"/>
  <c r="J24" i="1" s="1"/>
  <c r="I23" i="1"/>
  <c r="J23" i="1" s="1"/>
  <c r="I19" i="1"/>
  <c r="J19" i="1" s="1"/>
  <c r="I17" i="1"/>
  <c r="J17" i="1" s="1"/>
  <c r="I16" i="1"/>
  <c r="J16" i="1" s="1"/>
  <c r="I15" i="1"/>
  <c r="J15" i="1" s="1"/>
  <c r="I13" i="1"/>
  <c r="J13" i="1" s="1"/>
  <c r="I12" i="1"/>
  <c r="J12" i="1" s="1"/>
  <c r="I11" i="1"/>
  <c r="J11" i="1" s="1"/>
  <c r="I8" i="1"/>
  <c r="J8" i="1" s="1"/>
  <c r="I7" i="1"/>
  <c r="J7" i="1" s="1"/>
  <c r="I4" i="1"/>
  <c r="J4" i="1" s="1"/>
  <c r="I3" i="1"/>
  <c r="J3" i="1" l="1"/>
  <c r="I32" i="1"/>
  <c r="J32" i="1" l="1"/>
  <c r="Z2" i="1"/>
  <c r="D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I2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AMITA MEHTA:Qty taken from ZSSnew * Rate
</t>
        </r>
      </text>
    </comment>
  </commentList>
</comments>
</file>

<file path=xl/sharedStrings.xml><?xml version="1.0" encoding="utf-8"?>
<sst xmlns="http://schemas.openxmlformats.org/spreadsheetml/2006/main" count="295" uniqueCount="153">
  <si>
    <t>PLANT</t>
  </si>
  <si>
    <t>Validity date</t>
  </si>
  <si>
    <t>GRIR final</t>
  </si>
  <si>
    <t>Cl. STOCK</t>
  </si>
  <si>
    <t>AVG RATE</t>
  </si>
  <si>
    <t>STOCK LIAB</t>
  </si>
  <si>
    <t>SHORT/(EXCESS)</t>
  </si>
  <si>
    <t>06.14.2016</t>
  </si>
  <si>
    <t>TSPDL HR TUB</t>
  </si>
  <si>
    <t>31.03.2019</t>
  </si>
  <si>
    <t>BMW INDUSTRIES LTD.(UNIT-VI)B</t>
  </si>
  <si>
    <t>TSPDL DEMAG Slitter</t>
  </si>
  <si>
    <t>31.03.2018</t>
  </si>
  <si>
    <t>SKM Metal Processors</t>
  </si>
  <si>
    <t>TSPDL Bara for CGL#3</t>
  </si>
  <si>
    <t>GRAND TOTAL</t>
  </si>
  <si>
    <t>Basic Value</t>
  </si>
  <si>
    <t>Service tax</t>
  </si>
  <si>
    <t>E.Cess</t>
  </si>
  <si>
    <t>S.Cess</t>
  </si>
  <si>
    <t>Total</t>
  </si>
  <si>
    <t>BMW JSR</t>
  </si>
  <si>
    <t>TSPDL Chennai</t>
  </si>
  <si>
    <t>TSPDL-HR</t>
  </si>
  <si>
    <t>BMW TUB</t>
  </si>
  <si>
    <t>TSPDL PUNE</t>
  </si>
  <si>
    <t>31.03.2017</t>
  </si>
  <si>
    <t>TSPDL faridabad</t>
  </si>
  <si>
    <t>ALIIED METAL,FARIDABAD - LEPA</t>
  </si>
  <si>
    <t>Poshs Metal Industries Pvt.Ltd</t>
  </si>
  <si>
    <t>ALLIED FI-TECH IND-III TSL EPA</t>
  </si>
  <si>
    <t>30.09.2016</t>
  </si>
  <si>
    <t>ALLIED HI-TECH IND-III TSL EPA</t>
  </si>
  <si>
    <t>Tata Ryerson - Pune (LEPA)</t>
  </si>
  <si>
    <t>TSPDLCR</t>
  </si>
  <si>
    <t>30.06.2017</t>
  </si>
  <si>
    <t>TSPDL- Pune</t>
  </si>
  <si>
    <t>06.14.2019</t>
  </si>
  <si>
    <t>TSPDL Tubes</t>
  </si>
  <si>
    <t>TSPDL (for JCAPCPL)</t>
  </si>
  <si>
    <t>BMW Industries Ltd.-LEPA</t>
  </si>
  <si>
    <t>Hemnil - Pune, LEPA</t>
  </si>
  <si>
    <t>SGST</t>
  </si>
  <si>
    <t>CGST</t>
  </si>
  <si>
    <t>BMW IND. -GAM</t>
  </si>
  <si>
    <t>HEMNIL METAL</t>
  </si>
  <si>
    <t>V</t>
  </si>
  <si>
    <t>DIFF IN RATES</t>
  </si>
  <si>
    <t>O/S BILL As confirmed by Vendors ( Excluding GST)</t>
  </si>
  <si>
    <t>RCS</t>
  </si>
  <si>
    <t>16695</t>
  </si>
  <si>
    <t>Bhushan Steel</t>
  </si>
  <si>
    <t>BMW</t>
  </si>
  <si>
    <t>PLANT 3148</t>
  </si>
  <si>
    <t>TOTAL OS 3148</t>
  </si>
  <si>
    <t>PLANT 1258</t>
  </si>
  <si>
    <t>TOTAL OS 1258</t>
  </si>
  <si>
    <t>PLANT 1133</t>
  </si>
  <si>
    <t>TOTAL OS 1133</t>
  </si>
  <si>
    <t>PLANT 1169</t>
  </si>
  <si>
    <t>TOTAL OS 1169</t>
  </si>
  <si>
    <t>PLANT 1174</t>
  </si>
  <si>
    <t>TOTAL OS 1174</t>
  </si>
  <si>
    <t>PLANT 1113</t>
  </si>
  <si>
    <t>TOTAL OS 1113</t>
  </si>
  <si>
    <t>PLANT 4328</t>
  </si>
  <si>
    <t>TOTAL OS 4328</t>
  </si>
  <si>
    <t>PLANT 1164</t>
  </si>
  <si>
    <t>TOTAL OS 1164</t>
  </si>
  <si>
    <t>PLANT 1163</t>
  </si>
  <si>
    <t>TOTAL OS 1163</t>
  </si>
  <si>
    <t>PLANT 1111</t>
  </si>
  <si>
    <t>TOTAL OS 1111</t>
  </si>
  <si>
    <t>PLANT 2248</t>
  </si>
  <si>
    <t>TOTAL OS 2248</t>
  </si>
  <si>
    <t>PLANT 3119</t>
  </si>
  <si>
    <t>TOTAL OS 3119</t>
  </si>
  <si>
    <t>PLANT 2242</t>
  </si>
  <si>
    <t>TOTAL OS 2242</t>
  </si>
  <si>
    <t>PLANT 2223</t>
  </si>
  <si>
    <t>TOTAL OS 2223</t>
  </si>
  <si>
    <t>PLANT 1121</t>
  </si>
  <si>
    <t>TOTAL OS 1121</t>
  </si>
  <si>
    <t>PLANT 3151</t>
  </si>
  <si>
    <t>TOTAL OS 3151</t>
  </si>
  <si>
    <t>PLANT 3131</t>
  </si>
  <si>
    <t>TOTAL OS 3131</t>
  </si>
  <si>
    <t>PLANT 3155</t>
  </si>
  <si>
    <t>TOTAL OS 3155</t>
  </si>
  <si>
    <t>PLANT 2218</t>
  </si>
  <si>
    <t>TOTAL OS 2218</t>
  </si>
  <si>
    <t>PLANT 1135</t>
  </si>
  <si>
    <t>TOTAL OS 1135</t>
  </si>
  <si>
    <t>PLANT 1179</t>
  </si>
  <si>
    <t>TOTAL OS 1179</t>
  </si>
  <si>
    <t>PLANT 1228</t>
  </si>
  <si>
    <t>TOTAL OS 1228</t>
  </si>
  <si>
    <t>PLANT 3112</t>
  </si>
  <si>
    <t>TOTAL OS 3112</t>
  </si>
  <si>
    <t>PLANT 3154</t>
  </si>
  <si>
    <t>TOTAL OS 3154</t>
  </si>
  <si>
    <t>PLANT 1267</t>
  </si>
  <si>
    <t>TOTAL OS 1267</t>
  </si>
  <si>
    <t>PLANT 2025</t>
  </si>
  <si>
    <t>TOTAL OS 2025</t>
  </si>
  <si>
    <t>PLANT 1309</t>
  </si>
  <si>
    <t>TOTAL OS 1309</t>
  </si>
  <si>
    <t>Sandhu Tubes</t>
  </si>
  <si>
    <t>PLANT 1295</t>
  </si>
  <si>
    <t>Net Amount</t>
  </si>
  <si>
    <t>TOTAL OS 1295</t>
  </si>
  <si>
    <t>DIFF Amount</t>
  </si>
  <si>
    <t>Line Items inserted by Bot</t>
  </si>
  <si>
    <t xml:space="preserve">        Amount Matching but not Bill No</t>
  </si>
  <si>
    <t>June'20</t>
  </si>
  <si>
    <t>PLANT 119</t>
  </si>
  <si>
    <t>TOTAL OS 119</t>
  </si>
  <si>
    <t>JW/2021/00779 October</t>
  </si>
  <si>
    <t>BMWIL-GMH-75 October</t>
  </si>
  <si>
    <t>TSDPL KPO</t>
  </si>
  <si>
    <t>PLANT 2286</t>
  </si>
  <si>
    <t>TOTAL OS 2286</t>
  </si>
  <si>
    <t>TATA STEEL BSL  LIMITED</t>
  </si>
  <si>
    <t>SI20271/000099 Oct'20</t>
  </si>
  <si>
    <t>1200081/2021</t>
  </si>
  <si>
    <t>JW/2021/00944 November</t>
  </si>
  <si>
    <t>JW/2021/00945 November</t>
  </si>
  <si>
    <t>SV1501000005 November</t>
  </si>
  <si>
    <t>SV1501000007 November</t>
  </si>
  <si>
    <t>WCTL-2</t>
  </si>
  <si>
    <t>WCTL-1</t>
  </si>
  <si>
    <t>SLIT</t>
  </si>
  <si>
    <t>PARTING</t>
  </si>
  <si>
    <t>SI20331/000018 Nov'20</t>
  </si>
  <si>
    <t>SI20271/000116 Nov'20</t>
  </si>
  <si>
    <t>SI20271/000118 Nov'20</t>
  </si>
  <si>
    <t>Nov'20 Rate / ton</t>
  </si>
  <si>
    <t>Nov'20 SHORT/(EXCESS) AMT</t>
  </si>
  <si>
    <t>Prov Dec'20</t>
  </si>
  <si>
    <t>Dec'20</t>
  </si>
  <si>
    <t>Dec'20 Prov</t>
  </si>
  <si>
    <t>AHPL-V/161 December</t>
  </si>
  <si>
    <t>Prov Dec'20 December</t>
  </si>
  <si>
    <t>1200101/2021 december</t>
  </si>
  <si>
    <t>JW/2021/01165 December</t>
  </si>
  <si>
    <t>SV1501000011 December</t>
  </si>
  <si>
    <t>SV1501000015 December</t>
  </si>
  <si>
    <t>2100004379 Dec'20</t>
  </si>
  <si>
    <t>RCS000705 December</t>
  </si>
  <si>
    <t>WCTL-2 Dec'20</t>
  </si>
  <si>
    <t>WCTL-1 Dec'20</t>
  </si>
  <si>
    <t>SLIT Dec'20</t>
  </si>
  <si>
    <t>PARTING Dec'20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</si>
</sst>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(* #,##0.00_);_(* \(#,##0.00\);_(* &quot;-&quot;??_);_(@_)"/>
    <numFmt numFmtId="165" formatCode="mm/dd/yy;@"/>
    <numFmt numFmtId="166" formatCode="_(* #,##0_);_(* \(#,##0\);_(* &quot;-&quot;??_);_(@_)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3.5"/>
      <color rgb="FF000080"/>
      <name val="Arial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color rgb="FF000000"/>
      <name val="Times New Roman"/>
      <family val="1"/>
    </font>
    <font>
      <b/>
      <sz val="18"/>
      <color theme="3"/>
      <name val="Cambria"/>
      <family val="2"/>
      <scheme val="major"/>
    </font>
    <font>
      <sz val="11"/>
      <name val="Calibri"/>
      <family val="2"/>
      <scheme val="minor"/>
    </font>
    <font>
      <sz val="10"/>
      <name val="Tahoma"/>
      <family val="2"/>
    </font>
    <font>
      <b/>
      <sz val="9"/>
      <color indexed="81"/>
      <name val="Tahoma"/>
      <family val="2"/>
    </font>
    <font>
      <b/>
      <i/>
      <sz val="10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56">
    <xf numFmtId="0" fontId="0" fillId="0" borderId="0"/>
    <xf numFmtId="164" fontId="1" fillId="0" borderId="0" applyFont="0" applyFill="0" applyBorder="0" applyAlignment="0" applyProtection="0"/>
    <xf numFmtId="0" fontId="1" fillId="0" borderId="0"/>
    <xf numFmtId="0" fontId="9" fillId="0" borderId="0"/>
    <xf numFmtId="0" fontId="11" fillId="0" borderId="3" applyNumberFormat="0" applyFill="0" applyAlignment="0" applyProtection="0"/>
    <xf numFmtId="0" fontId="12" fillId="0" borderId="4" applyNumberFormat="0" applyFill="0" applyAlignment="0" applyProtection="0"/>
    <xf numFmtId="0" fontId="13" fillId="0" borderId="5" applyNumberFormat="0" applyFill="0" applyAlignment="0" applyProtection="0"/>
    <xf numFmtId="0" fontId="13" fillId="0" borderId="0" applyNumberFormat="0" applyFill="0" applyBorder="0" applyAlignment="0" applyProtection="0"/>
    <xf numFmtId="0" fontId="14" fillId="2" borderId="0" applyNumberFormat="0" applyBorder="0" applyAlignment="0" applyProtection="0"/>
    <xf numFmtId="0" fontId="15" fillId="3" borderId="0" applyNumberFormat="0" applyBorder="0" applyAlignment="0" applyProtection="0"/>
    <xf numFmtId="0" fontId="16" fillId="5" borderId="6" applyNumberFormat="0" applyAlignment="0" applyProtection="0"/>
    <xf numFmtId="0" fontId="17" fillId="6" borderId="7" applyNumberFormat="0" applyAlignment="0" applyProtection="0"/>
    <xf numFmtId="0" fontId="18" fillId="6" borderId="6" applyNumberFormat="0" applyAlignment="0" applyProtection="0"/>
    <xf numFmtId="0" fontId="19" fillId="0" borderId="8" applyNumberFormat="0" applyFill="0" applyAlignment="0" applyProtection="0"/>
    <xf numFmtId="0" fontId="20" fillId="7" borderId="9" applyNumberFormat="0" applyAlignment="0" applyProtection="0"/>
    <xf numFmtId="0" fontId="21" fillId="0" borderId="0" applyNumberFormat="0" applyFill="0" applyBorder="0" applyAlignment="0" applyProtection="0"/>
    <xf numFmtId="0" fontId="1" fillId="8" borderId="10" applyNumberFormat="0" applyFont="0" applyAlignment="0" applyProtection="0"/>
    <xf numFmtId="0" fontId="22" fillId="0" borderId="0" applyNumberFormat="0" applyFill="0" applyBorder="0" applyAlignment="0" applyProtection="0"/>
    <xf numFmtId="0" fontId="8" fillId="0" borderId="11" applyNumberFormat="0" applyFill="0" applyAlignment="0" applyProtection="0"/>
    <xf numFmtId="0" fontId="23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23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3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3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3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3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3" fillId="12" borderId="0" applyNumberFormat="0" applyBorder="0" applyAlignment="0" applyProtection="0"/>
    <xf numFmtId="0" fontId="23" fillId="16" borderId="0" applyNumberFormat="0" applyBorder="0" applyAlignment="0" applyProtection="0"/>
    <xf numFmtId="0" fontId="23" fillId="20" borderId="0" applyNumberFormat="0" applyBorder="0" applyAlignment="0" applyProtection="0"/>
    <xf numFmtId="0" fontId="23" fillId="24" borderId="0" applyNumberFormat="0" applyBorder="0" applyAlignment="0" applyProtection="0"/>
    <xf numFmtId="0" fontId="23" fillId="28" borderId="0" applyNumberFormat="0" applyBorder="0" applyAlignment="0" applyProtection="0"/>
    <xf numFmtId="0" fontId="23" fillId="32" borderId="0" applyNumberFormat="0" applyBorder="0" applyAlignment="0" applyProtection="0"/>
    <xf numFmtId="0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4" fillId="4" borderId="0" applyNumberFormat="0" applyBorder="0" applyAlignment="0" applyProtection="0"/>
    <xf numFmtId="0" fontId="25" fillId="0" borderId="0"/>
    <xf numFmtId="0" fontId="9" fillId="0" borderId="0"/>
    <xf numFmtId="0" fontId="26" fillId="0" borderId="0" applyNumberForma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05">
    <xf numFmtId="0" fontId="0" fillId="0" borderId="0" xfId="0"/>
    <xf numFmtId="1" fontId="5" fillId="0" borderId="1" xfId="0" applyNumberFormat="1" applyFont="1" applyFill="1" applyBorder="1" applyAlignment="1">
      <alignment horizontal="center" vertical="center"/>
    </xf>
    <xf numFmtId="0" fontId="0" fillId="0" borderId="0" xfId="0" applyFill="1"/>
    <xf numFmtId="165" fontId="5" fillId="0" borderId="1" xfId="0" applyNumberFormat="1" applyFont="1" applyFill="1" applyBorder="1" applyAlignment="1">
      <alignment horizontal="center"/>
    </xf>
    <xf numFmtId="0" fontId="5" fillId="0" borderId="1" xfId="0" applyFont="1" applyFill="1" applyBorder="1"/>
    <xf numFmtId="166" fontId="5" fillId="0" borderId="2" xfId="1" applyNumberFormat="1" applyFont="1" applyFill="1" applyBorder="1"/>
    <xf numFmtId="0" fontId="0" fillId="0" borderId="0" xfId="0" applyFill="1" applyBorder="1"/>
    <xf numFmtId="164" fontId="0" fillId="0" borderId="0" xfId="1" applyFont="1" applyFill="1" applyBorder="1"/>
    <xf numFmtId="0" fontId="8" fillId="0" borderId="0" xfId="0" applyFont="1" applyFill="1" applyBorder="1"/>
    <xf numFmtId="164" fontId="8" fillId="0" borderId="0" xfId="1" applyFont="1" applyFill="1" applyBorder="1"/>
    <xf numFmtId="0" fontId="0" fillId="0" borderId="0" xfId="0" applyFont="1" applyFill="1"/>
    <xf numFmtId="4" fontId="0" fillId="0" borderId="0" xfId="0" applyNumberFormat="1" applyFill="1"/>
    <xf numFmtId="166" fontId="0" fillId="0" borderId="0" xfId="0" applyNumberFormat="1" applyFill="1"/>
    <xf numFmtId="166" fontId="5" fillId="0" borderId="1" xfId="0" applyNumberFormat="1" applyFont="1" applyFill="1" applyBorder="1"/>
    <xf numFmtId="0" fontId="10" fillId="0" borderId="0" xfId="0" applyFont="1" applyFill="1"/>
    <xf numFmtId="164" fontId="0" fillId="0" borderId="0" xfId="1" applyFont="1" applyFill="1"/>
    <xf numFmtId="0" fontId="8" fillId="0" borderId="0" xfId="0" applyFont="1" applyFill="1"/>
    <xf numFmtId="0" fontId="5" fillId="33" borderId="1" xfId="0" applyFont="1" applyFill="1" applyBorder="1"/>
    <xf numFmtId="166" fontId="5" fillId="34" borderId="1" xfId="1" applyNumberFormat="1" applyFont="1" applyFill="1" applyBorder="1"/>
    <xf numFmtId="0" fontId="0" fillId="0" borderId="1" xfId="0" applyFill="1" applyBorder="1"/>
    <xf numFmtId="164" fontId="0" fillId="0" borderId="0" xfId="0" applyNumberFormat="1" applyFill="1"/>
    <xf numFmtId="1" fontId="6" fillId="37" borderId="1" xfId="0" applyNumberFormat="1" applyFont="1" applyFill="1" applyBorder="1"/>
    <xf numFmtId="0" fontId="6" fillId="37" borderId="1" xfId="0" applyFont="1" applyFill="1" applyBorder="1"/>
    <xf numFmtId="166" fontId="6" fillId="37" borderId="1" xfId="1" applyNumberFormat="1" applyFont="1" applyFill="1" applyBorder="1"/>
    <xf numFmtId="164" fontId="6" fillId="37" borderId="1" xfId="1" applyFont="1" applyFill="1" applyBorder="1"/>
    <xf numFmtId="0" fontId="0" fillId="36" borderId="0" xfId="0" applyFill="1"/>
    <xf numFmtId="164" fontId="4" fillId="36" borderId="0" xfId="1" applyFont="1" applyFill="1" applyBorder="1"/>
    <xf numFmtId="166" fontId="4" fillId="36" borderId="0" xfId="1" applyNumberFormat="1" applyFont="1" applyFill="1" applyBorder="1"/>
    <xf numFmtId="0" fontId="6" fillId="36" borderId="0" xfId="0" applyFont="1" applyFill="1" applyBorder="1"/>
    <xf numFmtId="164" fontId="5" fillId="36" borderId="0" xfId="1" applyNumberFormat="1" applyFont="1" applyFill="1" applyBorder="1"/>
    <xf numFmtId="0" fontId="0" fillId="36" borderId="0" xfId="49" applyFont="1" applyFill="1" applyBorder="1" applyAlignment="1">
      <alignment horizontal="left"/>
    </xf>
    <xf numFmtId="164" fontId="0" fillId="36" borderId="0" xfId="1" applyFont="1" applyFill="1" applyBorder="1" applyAlignment="1">
      <alignment horizontal="left"/>
    </xf>
    <xf numFmtId="164" fontId="6" fillId="36" borderId="0" xfId="1" applyNumberFormat="1" applyFont="1" applyFill="1" applyBorder="1"/>
    <xf numFmtId="166" fontId="6" fillId="36" borderId="0" xfId="1" applyNumberFormat="1" applyFont="1" applyFill="1" applyBorder="1" applyAlignment="1">
      <alignment horizontal="center" vertical="center"/>
    </xf>
    <xf numFmtId="0" fontId="3" fillId="0" borderId="12" xfId="2" applyFont="1" applyFill="1" applyBorder="1" applyAlignment="1">
      <alignment horizontal="center" vertical="center" wrapText="1"/>
    </xf>
    <xf numFmtId="164" fontId="0" fillId="0" borderId="0" xfId="0" applyNumberFormat="1" applyFill="1" applyBorder="1"/>
    <xf numFmtId="164" fontId="8" fillId="0" borderId="0" xfId="0" applyNumberFormat="1" applyFont="1" applyFill="1" applyBorder="1"/>
    <xf numFmtId="0" fontId="7" fillId="0" borderId="0" xfId="3" applyFont="1" applyFill="1" applyAlignment="1">
      <alignment wrapText="1"/>
    </xf>
    <xf numFmtId="0" fontId="7" fillId="0" borderId="0" xfId="3" applyFont="1" applyFill="1"/>
    <xf numFmtId="164" fontId="8" fillId="0" borderId="0" xfId="52" applyFont="1" applyFill="1" applyBorder="1"/>
    <xf numFmtId="164" fontId="0" fillId="0" borderId="0" xfId="52" applyFont="1" applyFill="1" applyBorder="1"/>
    <xf numFmtId="166" fontId="6" fillId="35" borderId="13" xfId="1" applyNumberFormat="1" applyFont="1" applyFill="1" applyBorder="1" applyAlignment="1">
      <alignment horizontal="center" vertical="center"/>
    </xf>
    <xf numFmtId="166" fontId="4" fillId="35" borderId="13" xfId="1" applyNumberFormat="1" applyFont="1" applyFill="1" applyBorder="1" applyAlignment="1">
      <alignment horizontal="center" vertical="center"/>
    </xf>
    <xf numFmtId="166" fontId="4" fillId="0" borderId="13" xfId="52" quotePrefix="1" applyNumberFormat="1" applyFont="1" applyFill="1" applyBorder="1" applyAlignment="1">
      <alignment horizontal="center" vertical="center"/>
    </xf>
    <xf numFmtId="166" fontId="4" fillId="0" borderId="13" xfId="52" applyNumberFormat="1" applyFont="1" applyFill="1" applyBorder="1" applyAlignment="1">
      <alignment horizontal="center" vertical="center"/>
    </xf>
    <xf numFmtId="166" fontId="7" fillId="0" borderId="13" xfId="52" applyNumberFormat="1" applyFont="1" applyFill="1" applyBorder="1"/>
    <xf numFmtId="166" fontId="4" fillId="35" borderId="13" xfId="1" applyNumberFormat="1" applyFont="1" applyFill="1" applyBorder="1"/>
    <xf numFmtId="166" fontId="4" fillId="0" borderId="13" xfId="1" applyNumberFormat="1" applyFont="1" applyFill="1" applyBorder="1"/>
    <xf numFmtId="166" fontId="5" fillId="0" borderId="13" xfId="1" applyNumberFormat="1" applyFont="1" applyFill="1" applyBorder="1"/>
    <xf numFmtId="164" fontId="5" fillId="0" borderId="13" xfId="1" applyNumberFormat="1" applyFont="1" applyFill="1" applyBorder="1"/>
    <xf numFmtId="166" fontId="5" fillId="36" borderId="13" xfId="1" applyNumberFormat="1" applyFont="1" applyFill="1" applyBorder="1"/>
    <xf numFmtId="166" fontId="6" fillId="36" borderId="13" xfId="1" applyNumberFormat="1" applyFont="1" applyFill="1" applyBorder="1"/>
    <xf numFmtId="164" fontId="6" fillId="0" borderId="13" xfId="1" applyFont="1" applyFill="1" applyBorder="1"/>
    <xf numFmtId="164" fontId="7" fillId="38" borderId="1" xfId="1" applyFont="1" applyFill="1" applyBorder="1"/>
    <xf numFmtId="166" fontId="7" fillId="38" borderId="1" xfId="1" applyNumberFormat="1" applyFont="1" applyFill="1" applyBorder="1"/>
    <xf numFmtId="0" fontId="2" fillId="39" borderId="1" xfId="2" applyFont="1" applyFill="1" applyBorder="1" applyAlignment="1">
      <alignment horizontal="center" vertical="center" wrapText="1"/>
    </xf>
    <xf numFmtId="0" fontId="3" fillId="39" borderId="1" xfId="2" applyFont="1" applyFill="1" applyBorder="1" applyAlignment="1">
      <alignment horizontal="center" vertical="center" wrapText="1"/>
    </xf>
    <xf numFmtId="0" fontId="4" fillId="39" borderId="1" xfId="2" applyFont="1" applyFill="1" applyBorder="1" applyAlignment="1">
      <alignment horizontal="center" vertical="center" wrapText="1"/>
    </xf>
    <xf numFmtId="166" fontId="6" fillId="33" borderId="13" xfId="1" applyNumberFormat="1" applyFont="1" applyFill="1" applyBorder="1" applyAlignment="1">
      <alignment horizontal="center" vertical="center"/>
    </xf>
    <xf numFmtId="166" fontId="6" fillId="35" borderId="13" xfId="1" applyNumberFormat="1" applyFont="1" applyFill="1" applyBorder="1"/>
    <xf numFmtId="17" fontId="4" fillId="0" borderId="13" xfId="52" applyNumberFormat="1" applyFont="1" applyFill="1" applyBorder="1" applyAlignment="1">
      <alignment horizontal="left"/>
    </xf>
    <xf numFmtId="164" fontId="4" fillId="35" borderId="13" xfId="1" applyFont="1" applyFill="1" applyBorder="1"/>
    <xf numFmtId="0" fontId="28" fillId="0" borderId="13" xfId="0" applyFont="1" applyFill="1" applyBorder="1"/>
    <xf numFmtId="0" fontId="27" fillId="0" borderId="13" xfId="0" applyFont="1" applyBorder="1" applyProtection="1">
      <protection locked="0"/>
    </xf>
    <xf numFmtId="0" fontId="6" fillId="35" borderId="13" xfId="0" applyFont="1" applyFill="1" applyBorder="1"/>
    <xf numFmtId="0" fontId="8" fillId="33" borderId="13" xfId="49" applyFont="1" applyFill="1" applyBorder="1" applyAlignment="1">
      <alignment horizontal="center"/>
    </xf>
    <xf numFmtId="0" fontId="8" fillId="35" borderId="13" xfId="49" applyFont="1" applyFill="1" applyBorder="1" applyAlignment="1">
      <alignment horizontal="left"/>
    </xf>
    <xf numFmtId="0" fontId="7" fillId="0" borderId="13" xfId="0" applyFont="1" applyFill="1" applyBorder="1" applyAlignment="1">
      <alignment horizontal="left"/>
    </xf>
    <xf numFmtId="164" fontId="27" fillId="0" borderId="13" xfId="52" applyFont="1" applyFill="1" applyBorder="1" applyAlignment="1">
      <alignment horizontal="left"/>
    </xf>
    <xf numFmtId="0" fontId="0" fillId="35" borderId="13" xfId="49" applyFont="1" applyFill="1" applyBorder="1" applyAlignment="1">
      <alignment horizontal="left"/>
    </xf>
    <xf numFmtId="164" fontId="0" fillId="0" borderId="13" xfId="1" applyFont="1" applyFill="1" applyBorder="1" applyAlignment="1">
      <alignment horizontal="left"/>
    </xf>
    <xf numFmtId="0" fontId="27" fillId="0" borderId="13" xfId="0" applyFont="1" applyBorder="1"/>
    <xf numFmtId="164" fontId="6" fillId="0" borderId="13" xfId="1" applyNumberFormat="1" applyFont="1" applyFill="1" applyBorder="1"/>
    <xf numFmtId="166" fontId="6" fillId="0" borderId="13" xfId="1" applyNumberFormat="1" applyFont="1" applyFill="1" applyBorder="1" applyAlignment="1">
      <alignment horizontal="center" vertical="center"/>
    </xf>
    <xf numFmtId="17" fontId="27" fillId="0" borderId="13" xfId="0" applyNumberFormat="1" applyFont="1" applyFill="1" applyBorder="1" applyAlignment="1"/>
    <xf numFmtId="17" fontId="27" fillId="0" borderId="13" xfId="0" applyNumberFormat="1" applyFont="1" applyFill="1" applyBorder="1" applyAlignment="1">
      <alignment horizontal="left"/>
    </xf>
    <xf numFmtId="164" fontId="27" fillId="0" borderId="13" xfId="55" applyFont="1" applyBorder="1"/>
    <xf numFmtId="17" fontId="30" fillId="0" borderId="13" xfId="0" applyNumberFormat="1" applyFont="1" applyFill="1" applyBorder="1" applyAlignment="1">
      <alignment horizontal="right"/>
    </xf>
    <xf numFmtId="0" fontId="27" fillId="0" borderId="13" xfId="0" applyFont="1" applyBorder="1" applyProtection="1">
      <protection locked="0" hidden="1"/>
    </xf>
    <xf numFmtId="164" fontId="27" fillId="0" borderId="13" xfId="1" applyFont="1" applyBorder="1"/>
    <xf numFmtId="166" fontId="4" fillId="0" borderId="13" xfId="52" quotePrefix="1" applyNumberFormat="1" applyFont="1" applyFill="1" applyBorder="1" applyAlignment="1">
      <alignment horizontal="left" vertical="center"/>
    </xf>
    <xf numFmtId="166" fontId="7" fillId="0" borderId="13" xfId="52" quotePrefix="1" applyNumberFormat="1" applyFont="1" applyFill="1" applyBorder="1" applyAlignment="1">
      <alignment horizontal="left" vertical="center"/>
    </xf>
    <xf numFmtId="164" fontId="7" fillId="0" borderId="13" xfId="52" applyFont="1" applyFill="1" applyBorder="1"/>
    <xf numFmtId="4" fontId="27" fillId="0" borderId="13" xfId="0" applyNumberFormat="1" applyFont="1" applyBorder="1"/>
    <xf numFmtId="0" fontId="0" fillId="35" borderId="13" xfId="0" applyFill="1" applyBorder="1"/>
    <xf numFmtId="0" fontId="27" fillId="0" borderId="13" xfId="0" applyFont="1" applyFill="1" applyBorder="1"/>
    <xf numFmtId="0" fontId="0" fillId="0" borderId="13" xfId="0" applyFill="1" applyBorder="1"/>
    <xf numFmtId="0" fontId="9" fillId="0" borderId="13" xfId="3" applyFont="1" applyBorder="1"/>
    <xf numFmtId="164" fontId="27" fillId="0" borderId="13" xfId="1" applyFont="1" applyFill="1" applyBorder="1"/>
    <xf numFmtId="164" fontId="9" fillId="0" borderId="13" xfId="1" applyFont="1" applyBorder="1"/>
    <xf numFmtId="0" fontId="0" fillId="33" borderId="13" xfId="0" applyFill="1" applyBorder="1"/>
    <xf numFmtId="166" fontId="5" fillId="36" borderId="13" xfId="53" applyNumberFormat="1" applyFont="1" applyFill="1" applyBorder="1"/>
    <xf numFmtId="164" fontId="7" fillId="36" borderId="13" xfId="54" applyFont="1" applyFill="1" applyBorder="1"/>
    <xf numFmtId="166" fontId="6" fillId="36" borderId="13" xfId="53" applyNumberFormat="1" applyFont="1" applyFill="1" applyBorder="1"/>
    <xf numFmtId="166" fontId="7" fillId="36" borderId="13" xfId="54" applyNumberFormat="1" applyFont="1" applyFill="1" applyBorder="1"/>
    <xf numFmtId="166" fontId="6" fillId="37" borderId="13" xfId="1" applyNumberFormat="1" applyFont="1" applyFill="1" applyBorder="1"/>
    <xf numFmtId="164" fontId="6" fillId="37" borderId="13" xfId="1" applyFont="1" applyFill="1" applyBorder="1"/>
    <xf numFmtId="0" fontId="8" fillId="0" borderId="0" xfId="0" applyFont="1" applyFill="1" applyBorder="1" applyAlignment="1">
      <alignment horizontal="center"/>
    </xf>
    <xf numFmtId="43" fontId="7" fillId="0" borderId="13" xfId="1" applyNumberFormat="1" applyFont="1" applyFill="1" applyBorder="1"/>
    <xf numFmtId="43" fontId="7" fillId="0" borderId="13" xfId="52" applyNumberFormat="1" applyFont="1" applyFill="1" applyBorder="1"/>
    <xf numFmtId="43" fontId="4" fillId="0" borderId="13" xfId="52" applyNumberFormat="1" applyFont="1" applyFill="1" applyBorder="1" applyAlignment="1">
      <alignment horizontal="center" vertical="center"/>
    </xf>
    <xf numFmtId="43" fontId="7" fillId="0" borderId="13" xfId="52" applyNumberFormat="1" applyFont="1" applyFill="1" applyBorder="1" applyAlignment="1">
      <alignment horizontal="left"/>
    </xf>
    <xf numFmtId="43" fontId="7" fillId="0" borderId="13" xfId="52" applyNumberFormat="1" applyFont="1" applyFill="1" applyBorder="1" applyAlignment="1">
      <alignment horizontal="center" vertical="center"/>
    </xf>
    <xf numFmtId="43" fontId="0" fillId="0" borderId="0" xfId="0" applyNumberFormat="1" applyFill="1" applyBorder="1"/>
    <xf numFmtId="43" fontId="0" fillId="0" borderId="0" xfId="0" applyNumberFormat="1" applyFill="1"/>
  </cellXfs>
  <cellStyles count="56">
    <cellStyle name="20% - Accent1" xfId="20" builtinId="30" customBuiltin="1"/>
    <cellStyle name="20% - Accent2" xfId="23" builtinId="34" customBuiltin="1"/>
    <cellStyle name="20% - Accent3" xfId="26" builtinId="38" customBuiltin="1"/>
    <cellStyle name="20% - Accent4" xfId="29" builtinId="42" customBuiltin="1"/>
    <cellStyle name="20% - Accent5" xfId="32" builtinId="46" customBuiltin="1"/>
    <cellStyle name="20% - Accent6" xfId="35" builtinId="50" customBuiltin="1"/>
    <cellStyle name="40% - Accent1" xfId="21" builtinId="31" customBuiltin="1"/>
    <cellStyle name="40% - Accent2" xfId="24" builtinId="35" customBuiltin="1"/>
    <cellStyle name="40% - Accent3" xfId="27" builtinId="39" customBuiltin="1"/>
    <cellStyle name="40% - Accent4" xfId="30" builtinId="43" customBuiltin="1"/>
    <cellStyle name="40% - Accent5" xfId="33" builtinId="47" customBuiltin="1"/>
    <cellStyle name="40% - Accent6" xfId="36" builtinId="51" customBuiltin="1"/>
    <cellStyle name="60% - Accent1 2" xfId="37" xr:uid="{00000000-0005-0000-0000-00000C000000}"/>
    <cellStyle name="60% - Accent2 2" xfId="38" xr:uid="{00000000-0005-0000-0000-00000D000000}"/>
    <cellStyle name="60% - Accent3 2" xfId="39" xr:uid="{00000000-0005-0000-0000-00000E000000}"/>
    <cellStyle name="60% - Accent4 2" xfId="40" xr:uid="{00000000-0005-0000-0000-00000F000000}"/>
    <cellStyle name="60% - Accent5 2" xfId="41" xr:uid="{00000000-0005-0000-0000-000010000000}"/>
    <cellStyle name="60% - Accent6 2" xfId="42" xr:uid="{00000000-0005-0000-0000-000011000000}"/>
    <cellStyle name="Accent1" xfId="19" builtinId="29" customBuiltin="1"/>
    <cellStyle name="Accent2" xfId="22" builtinId="33" customBuiltin="1"/>
    <cellStyle name="Accent3" xfId="25" builtinId="37" customBuiltin="1"/>
    <cellStyle name="Accent4" xfId="28" builtinId="41" customBuiltin="1"/>
    <cellStyle name="Accent5" xfId="31" builtinId="45" customBuiltin="1"/>
    <cellStyle name="Accent6" xfId="34" builtinId="49" customBuiltin="1"/>
    <cellStyle name="Bad" xfId="9" builtinId="27" customBuiltin="1"/>
    <cellStyle name="Calculation" xfId="12" builtinId="22" customBuiltin="1"/>
    <cellStyle name="Check Cell" xfId="14" builtinId="23" customBuiltin="1"/>
    <cellStyle name="Comma" xfId="1" builtinId="3"/>
    <cellStyle name="Comma 18" xfId="52" xr:uid="{00000000-0005-0000-0000-00001C000000}"/>
    <cellStyle name="Comma 2" xfId="43" xr:uid="{00000000-0005-0000-0000-00001D000000}"/>
    <cellStyle name="Comma 2 2 2" xfId="44" xr:uid="{00000000-0005-0000-0000-00001E000000}"/>
    <cellStyle name="Comma 2 2 2 2" xfId="51" xr:uid="{00000000-0005-0000-0000-00001F000000}"/>
    <cellStyle name="Comma 2 2 2 2 2" xfId="54" xr:uid="{00000000-0005-0000-0000-000020000000}"/>
    <cellStyle name="Comma 3" xfId="53" xr:uid="{00000000-0005-0000-0000-000021000000}"/>
    <cellStyle name="Comma 4" xfId="55" xr:uid="{0CCA337E-6381-4849-9FEB-579EF3F73AC0}"/>
    <cellStyle name="Comma 5" xfId="50" xr:uid="{00000000-0005-0000-0000-000022000000}"/>
    <cellStyle name="Explanatory Text" xfId="17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0" builtinId="20" customBuiltin="1"/>
    <cellStyle name="Linked Cell" xfId="13" builtinId="24" customBuiltin="1"/>
    <cellStyle name="Neutral 2" xfId="45" xr:uid="{00000000-0005-0000-0000-00002B000000}"/>
    <cellStyle name="Normal" xfId="0" builtinId="0"/>
    <cellStyle name="Normal 2" xfId="3" xr:uid="{00000000-0005-0000-0000-00002D000000}"/>
    <cellStyle name="Normal 2 2" xfId="47" xr:uid="{00000000-0005-0000-0000-00002E000000}"/>
    <cellStyle name="Normal 2 3" xfId="46" xr:uid="{00000000-0005-0000-0000-00002F000000}"/>
    <cellStyle name="Normal 3" xfId="2" xr:uid="{00000000-0005-0000-0000-000030000000}"/>
    <cellStyle name="Normal 4" xfId="49" xr:uid="{00000000-0005-0000-0000-000031000000}"/>
    <cellStyle name="Note" xfId="16" builtinId="10" customBuiltin="1"/>
    <cellStyle name="Output" xfId="11" builtinId="21" customBuiltin="1"/>
    <cellStyle name="Title 2" xfId="48" xr:uid="{00000000-0005-0000-0000-000034000000}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Medium9"/>
  <colors>
    <mruColors>
      <color rgb="FFCCFFCC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28576</xdr:colOff>
      <xdr:row>0</xdr:row>
      <xdr:rowOff>9525</xdr:rowOff>
    </xdr:from>
    <xdr:to>
      <xdr:col>3</xdr:col>
      <xdr:colOff>219076</xdr:colOff>
      <xdr:row>0</xdr:row>
      <xdr:rowOff>180975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F561F709-1902-42E2-8F8C-52BE9E2FF45B}"/>
            </a:ext>
          </a:extLst>
        </xdr:cNvPr>
        <xdr:cNvSpPr/>
      </xdr:nvSpPr>
      <xdr:spPr>
        <a:xfrm>
          <a:off x="5410201" y="9525"/>
          <a:ext cx="190500" cy="171450"/>
        </a:xfrm>
        <a:prstGeom prst="ellipse">
          <a:avLst/>
        </a:prstGeom>
        <a:solidFill>
          <a:srgbClr val="18661C"/>
        </a:solidFill>
        <a:ln>
          <a:solidFill>
            <a:srgbClr val="0066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9525</xdr:colOff>
      <xdr:row>0</xdr:row>
      <xdr:rowOff>19050</xdr:rowOff>
    </xdr:from>
    <xdr:to>
      <xdr:col>4</xdr:col>
      <xdr:colOff>190500</xdr:colOff>
      <xdr:row>0</xdr:row>
      <xdr:rowOff>180975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E13E3022-87CC-4260-8B7B-A610121A0FE2}"/>
            </a:ext>
          </a:extLst>
        </xdr:cNvPr>
        <xdr:cNvSpPr/>
      </xdr:nvSpPr>
      <xdr:spPr>
        <a:xfrm>
          <a:off x="6896100" y="19050"/>
          <a:ext cx="180975" cy="161925"/>
        </a:xfrm>
        <a:prstGeom prst="ellipse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61972/Desktop/ConvTemp9600Curren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vision"/>
      <sheetName val="Working"/>
      <sheetName val="KPO working"/>
    </sheetNames>
    <sheetDataSet>
      <sheetData sheetId="0"/>
      <sheetData sheetId="1">
        <row r="1">
          <cell r="D1" t="str">
            <v>Line Items inserted by Bot</v>
          </cell>
          <cell r="E1" t="str">
            <v xml:space="preserve">        Amount Matching but not Bill No</v>
          </cell>
          <cell r="F1"/>
        </row>
        <row r="4">
          <cell r="C4" t="str">
            <v>PLANT 2286</v>
          </cell>
          <cell r="D4" t="str">
            <v>Net Amount</v>
          </cell>
          <cell r="E4" t="str">
            <v>CGST</v>
          </cell>
          <cell r="F4" t="str">
            <v>SGST</v>
          </cell>
          <cell r="G4"/>
          <cell r="H4" t="str">
            <v>Total</v>
          </cell>
        </row>
        <row r="5">
          <cell r="C5"/>
          <cell r="D5"/>
          <cell r="E5"/>
          <cell r="F5"/>
          <cell r="G5"/>
          <cell r="H5"/>
        </row>
        <row r="6">
          <cell r="C6" t="str">
            <v>TOTAL OS 2286</v>
          </cell>
          <cell r="D6"/>
          <cell r="E6"/>
          <cell r="F6"/>
          <cell r="G6"/>
          <cell r="H6"/>
        </row>
        <row r="9">
          <cell r="C9" t="str">
            <v>PLANT 119</v>
          </cell>
          <cell r="D9" t="str">
            <v>Net Amount</v>
          </cell>
          <cell r="E9" t="str">
            <v>CGST</v>
          </cell>
          <cell r="F9" t="str">
            <v>SGST</v>
          </cell>
          <cell r="G9"/>
          <cell r="H9" t="str">
            <v>Total</v>
          </cell>
        </row>
        <row r="10">
          <cell r="C10"/>
          <cell r="D10"/>
          <cell r="E10"/>
          <cell r="F10"/>
          <cell r="G10"/>
          <cell r="H10"/>
        </row>
        <row r="11">
          <cell r="C11" t="str">
            <v>Management Fees Oct'20</v>
          </cell>
          <cell r="D11">
            <v>5000000</v>
          </cell>
          <cell r="E11"/>
          <cell r="F11"/>
          <cell r="G11"/>
          <cell r="H11"/>
        </row>
        <row r="12">
          <cell r="C12" t="str">
            <v>Management Fees Nov'20</v>
          </cell>
          <cell r="D12">
            <v>5000000</v>
          </cell>
          <cell r="E12"/>
          <cell r="F12"/>
          <cell r="G12"/>
          <cell r="H12"/>
        </row>
        <row r="13">
          <cell r="C13" t="str">
            <v>WCTL-2</v>
          </cell>
          <cell r="D13">
            <v>19513207.578286231</v>
          </cell>
          <cell r="E13"/>
          <cell r="F13"/>
          <cell r="G13"/>
          <cell r="H13"/>
        </row>
        <row r="14">
          <cell r="C14" t="str">
            <v>WCTL-1</v>
          </cell>
          <cell r="D14">
            <v>8883584.2355100326</v>
          </cell>
          <cell r="E14"/>
          <cell r="F14"/>
          <cell r="G14"/>
          <cell r="H14"/>
        </row>
        <row r="15">
          <cell r="C15" t="str">
            <v>SLIT</v>
          </cell>
          <cell r="D15">
            <v>3505128.9970000028</v>
          </cell>
          <cell r="E15"/>
          <cell r="F15"/>
          <cell r="G15"/>
          <cell r="H15"/>
        </row>
        <row r="16">
          <cell r="C16" t="str">
            <v>PARTING</v>
          </cell>
          <cell r="D16">
            <v>139387.04999999999</v>
          </cell>
          <cell r="E16"/>
          <cell r="F16"/>
          <cell r="G16"/>
          <cell r="H16"/>
        </row>
        <row r="17">
          <cell r="C17"/>
          <cell r="D17"/>
          <cell r="E17"/>
          <cell r="F17"/>
          <cell r="G17"/>
          <cell r="H17"/>
        </row>
        <row r="18">
          <cell r="C18" t="str">
            <v>TOTAL OS 119</v>
          </cell>
          <cell r="D18">
            <v>42041307.860796265</v>
          </cell>
          <cell r="E18">
            <v>0</v>
          </cell>
          <cell r="F18">
            <v>0</v>
          </cell>
          <cell r="G18"/>
          <cell r="H18">
            <v>0</v>
          </cell>
        </row>
        <row r="21">
          <cell r="C21" t="str">
            <v>PLANT 1295</v>
          </cell>
          <cell r="D21" t="str">
            <v>Net Amount</v>
          </cell>
          <cell r="E21" t="str">
            <v>CGST</v>
          </cell>
          <cell r="F21" t="str">
            <v>SGST</v>
          </cell>
          <cell r="G21"/>
          <cell r="H21" t="str">
            <v>Total</v>
          </cell>
        </row>
        <row r="22">
          <cell r="C22"/>
          <cell r="D22"/>
          <cell r="E22"/>
          <cell r="F22"/>
          <cell r="G22"/>
          <cell r="H22"/>
        </row>
        <row r="23">
          <cell r="C23"/>
          <cell r="D23"/>
          <cell r="E23">
            <v>0</v>
          </cell>
          <cell r="F23">
            <v>0</v>
          </cell>
          <cell r="G23"/>
          <cell r="H23">
            <v>0</v>
          </cell>
        </row>
        <row r="24">
          <cell r="C24" t="str">
            <v>TOTAL OS 1295</v>
          </cell>
          <cell r="D24">
            <v>0</v>
          </cell>
          <cell r="E24">
            <v>0</v>
          </cell>
          <cell r="F24">
            <v>0</v>
          </cell>
          <cell r="G24"/>
          <cell r="H24">
            <v>0</v>
          </cell>
        </row>
        <row r="27">
          <cell r="C27" t="str">
            <v>PLANT 3148</v>
          </cell>
          <cell r="D27" t="str">
            <v>Basic Value</v>
          </cell>
          <cell r="E27" t="str">
            <v>CGST</v>
          </cell>
          <cell r="F27" t="str">
            <v>SGST</v>
          </cell>
          <cell r="G27" t="str">
            <v>S.Cess</v>
          </cell>
          <cell r="H27" t="str">
            <v>Total</v>
          </cell>
        </row>
        <row r="28">
          <cell r="C28"/>
          <cell r="D28"/>
          <cell r="E28"/>
          <cell r="F28"/>
          <cell r="G28"/>
          <cell r="H28"/>
        </row>
        <row r="29">
          <cell r="C29" t="str">
            <v>1200063/2021 October'20</v>
          </cell>
          <cell r="D29">
            <v>683945.59499999997</v>
          </cell>
          <cell r="E29">
            <v>61555.103549999993</v>
          </cell>
          <cell r="F29">
            <v>61555.103549999993</v>
          </cell>
          <cell r="G29"/>
          <cell r="H29">
            <v>807055.80209999997</v>
          </cell>
        </row>
        <row r="30">
          <cell r="C30" t="str">
            <v>1200081/2021</v>
          </cell>
          <cell r="D30">
            <v>80856.800000000003</v>
          </cell>
          <cell r="E30">
            <v>7277.1120000000001</v>
          </cell>
          <cell r="F30">
            <v>7277.1120000000001</v>
          </cell>
          <cell r="G30"/>
          <cell r="H30">
            <v>95411.02399999999</v>
          </cell>
        </row>
        <row r="31">
          <cell r="C31" t="str">
            <v>TOTAL OS 3148</v>
          </cell>
          <cell r="D31">
            <v>764802.39500000002</v>
          </cell>
          <cell r="E31">
            <v>68832.215549999994</v>
          </cell>
          <cell r="F31">
            <v>68832.215549999994</v>
          </cell>
          <cell r="G31" t="e">
            <v>#REF!</v>
          </cell>
          <cell r="H31">
            <v>902466.82609999995</v>
          </cell>
        </row>
        <row r="32">
          <cell r="C32"/>
          <cell r="D32"/>
          <cell r="E32"/>
          <cell r="F32"/>
          <cell r="G32"/>
          <cell r="H32"/>
        </row>
        <row r="33">
          <cell r="C33"/>
          <cell r="D33"/>
          <cell r="E33"/>
          <cell r="F33"/>
          <cell r="G33"/>
          <cell r="H33"/>
        </row>
        <row r="34">
          <cell r="C34" t="str">
            <v>PLANT 1258</v>
          </cell>
          <cell r="D34" t="str">
            <v>Basic Value</v>
          </cell>
          <cell r="E34" t="str">
            <v>CGST</v>
          </cell>
          <cell r="F34" t="str">
            <v>SGST</v>
          </cell>
          <cell r="G34"/>
          <cell r="H34" t="str">
            <v>Total</v>
          </cell>
        </row>
        <row r="35">
          <cell r="C35"/>
          <cell r="D35"/>
          <cell r="E35"/>
          <cell r="F35"/>
          <cell r="G35"/>
          <cell r="H35"/>
        </row>
        <row r="36">
          <cell r="C36" t="str">
            <v>TOTAL OS 1258</v>
          </cell>
          <cell r="D36">
            <v>0</v>
          </cell>
          <cell r="E36">
            <v>0</v>
          </cell>
          <cell r="F36">
            <v>0</v>
          </cell>
          <cell r="G36" t="e">
            <v>#REF!</v>
          </cell>
          <cell r="H36">
            <v>0</v>
          </cell>
        </row>
        <row r="37">
          <cell r="C37"/>
          <cell r="D37"/>
          <cell r="E37"/>
          <cell r="F37"/>
          <cell r="G37"/>
          <cell r="H37"/>
        </row>
        <row r="38">
          <cell r="C38"/>
          <cell r="D38"/>
          <cell r="E38"/>
          <cell r="F38"/>
          <cell r="G38"/>
          <cell r="H38"/>
        </row>
        <row r="39">
          <cell r="C39" t="str">
            <v>PLANT 1133</v>
          </cell>
          <cell r="D39" t="str">
            <v>Basic Value</v>
          </cell>
          <cell r="E39" t="str">
            <v>CGST</v>
          </cell>
          <cell r="F39" t="str">
            <v>SGST</v>
          </cell>
          <cell r="G39" t="str">
            <v>S.Cess</v>
          </cell>
          <cell r="H39" t="str">
            <v>Total</v>
          </cell>
        </row>
        <row r="40">
          <cell r="C40"/>
          <cell r="D40"/>
          <cell r="E40">
            <v>0</v>
          </cell>
          <cell r="F40">
            <v>0</v>
          </cell>
          <cell r="G40"/>
          <cell r="H40">
            <v>0</v>
          </cell>
        </row>
        <row r="41">
          <cell r="C41" t="str">
            <v>SI20201/000035 October'20</v>
          </cell>
          <cell r="D41">
            <v>149374.69200000001</v>
          </cell>
          <cell r="E41">
            <v>13443.72228</v>
          </cell>
          <cell r="F41">
            <v>13443.72228</v>
          </cell>
          <cell r="G41"/>
          <cell r="H41">
            <v>176262.13655999998</v>
          </cell>
        </row>
        <row r="42">
          <cell r="C42" t="str">
            <v>TOTAL OS 1133</v>
          </cell>
          <cell r="D42">
            <v>149374.69200000001</v>
          </cell>
          <cell r="E42">
            <v>13443.72228</v>
          </cell>
          <cell r="F42">
            <v>13443.72228</v>
          </cell>
          <cell r="G42" t="e">
            <v>#REF!</v>
          </cell>
          <cell r="H42">
            <v>176262.13655999998</v>
          </cell>
        </row>
        <row r="43">
          <cell r="C43"/>
          <cell r="D43"/>
          <cell r="E43"/>
          <cell r="F43"/>
          <cell r="G43"/>
          <cell r="H43"/>
        </row>
        <row r="44">
          <cell r="C44"/>
          <cell r="D44"/>
          <cell r="E44"/>
          <cell r="F44"/>
          <cell r="G44"/>
          <cell r="H44"/>
        </row>
        <row r="45">
          <cell r="C45" t="str">
            <v>PLANT 1169</v>
          </cell>
          <cell r="D45" t="str">
            <v>Basic Value</v>
          </cell>
          <cell r="E45" t="str">
            <v>CGST</v>
          </cell>
          <cell r="F45" t="str">
            <v>SGST</v>
          </cell>
          <cell r="G45" t="str">
            <v>S.Cess</v>
          </cell>
          <cell r="H45" t="str">
            <v>Total</v>
          </cell>
        </row>
        <row r="46">
          <cell r="C46"/>
          <cell r="D46"/>
          <cell r="E46"/>
          <cell r="F46"/>
          <cell r="G46"/>
          <cell r="H46"/>
        </row>
        <row r="47">
          <cell r="C47" t="str">
            <v>Nov'20 Prov November</v>
          </cell>
          <cell r="D47">
            <v>3254900.3679999998</v>
          </cell>
          <cell r="E47">
            <v>292941.03311999998</v>
          </cell>
          <cell r="F47">
            <v>292941.03311999998</v>
          </cell>
          <cell r="G47"/>
          <cell r="H47">
            <v>3840782.4342399994</v>
          </cell>
        </row>
        <row r="48">
          <cell r="C48" t="str">
            <v>TOTAL OS 1169</v>
          </cell>
          <cell r="D48">
            <v>3254900.3679999998</v>
          </cell>
          <cell r="E48">
            <v>292941.03311999998</v>
          </cell>
          <cell r="F48">
            <v>292941.03311999998</v>
          </cell>
          <cell r="G48" t="e">
            <v>#REF!</v>
          </cell>
          <cell r="H48">
            <v>3840782.4342399994</v>
          </cell>
        </row>
        <row r="49">
          <cell r="C49"/>
          <cell r="D49"/>
          <cell r="E49"/>
          <cell r="F49"/>
          <cell r="G49"/>
          <cell r="H49"/>
        </row>
        <row r="50">
          <cell r="C50"/>
          <cell r="D50"/>
          <cell r="E50"/>
          <cell r="F50"/>
          <cell r="G50"/>
          <cell r="H50"/>
        </row>
        <row r="51">
          <cell r="C51" t="str">
            <v>PLANT 1174</v>
          </cell>
          <cell r="D51" t="str">
            <v>Basic Value</v>
          </cell>
          <cell r="E51" t="str">
            <v>Service tax</v>
          </cell>
          <cell r="F51" t="str">
            <v>E.Cess</v>
          </cell>
          <cell r="G51" t="str">
            <v>S.Cess</v>
          </cell>
          <cell r="H51" t="str">
            <v>Total</v>
          </cell>
        </row>
        <row r="52">
          <cell r="C52"/>
          <cell r="D52"/>
          <cell r="E52">
            <v>0</v>
          </cell>
          <cell r="F52">
            <v>0</v>
          </cell>
          <cell r="G52"/>
          <cell r="H52">
            <v>0</v>
          </cell>
        </row>
        <row r="53">
          <cell r="C53" t="str">
            <v>TOTAL OS 1174</v>
          </cell>
          <cell r="D53">
            <v>0</v>
          </cell>
          <cell r="E53">
            <v>0</v>
          </cell>
          <cell r="F53">
            <v>0</v>
          </cell>
          <cell r="G53" t="e">
            <v>#REF!</v>
          </cell>
          <cell r="H53">
            <v>0</v>
          </cell>
        </row>
        <row r="54">
          <cell r="C54"/>
          <cell r="D54"/>
          <cell r="E54"/>
          <cell r="F54"/>
          <cell r="G54"/>
          <cell r="H54"/>
        </row>
        <row r="55">
          <cell r="C55"/>
          <cell r="D55"/>
          <cell r="E55"/>
          <cell r="F55"/>
          <cell r="G55"/>
          <cell r="H55"/>
        </row>
        <row r="56">
          <cell r="C56" t="str">
            <v>PLANT 1113</v>
          </cell>
          <cell r="D56" t="str">
            <v>Basic Value</v>
          </cell>
          <cell r="E56" t="str">
            <v>CGST</v>
          </cell>
          <cell r="F56" t="str">
            <v>SGST</v>
          </cell>
          <cell r="G56"/>
          <cell r="H56" t="str">
            <v>Total</v>
          </cell>
        </row>
        <row r="57">
          <cell r="C57"/>
          <cell r="D57"/>
          <cell r="E57">
            <v>0</v>
          </cell>
          <cell r="F57">
            <v>0</v>
          </cell>
          <cell r="G57"/>
          <cell r="H57">
            <v>0</v>
          </cell>
        </row>
        <row r="58">
          <cell r="C58" t="str">
            <v>TOTAL OS 1113</v>
          </cell>
          <cell r="D58">
            <v>0</v>
          </cell>
          <cell r="E58">
            <v>0</v>
          </cell>
          <cell r="F58">
            <v>0</v>
          </cell>
          <cell r="G58" t="e">
            <v>#REF!</v>
          </cell>
          <cell r="H58">
            <v>0</v>
          </cell>
        </row>
        <row r="59">
          <cell r="C59"/>
          <cell r="D59"/>
          <cell r="E59"/>
          <cell r="F59"/>
          <cell r="G59"/>
          <cell r="H59"/>
        </row>
        <row r="60">
          <cell r="C60"/>
          <cell r="D60"/>
          <cell r="E60"/>
          <cell r="F60"/>
          <cell r="G60"/>
          <cell r="H60"/>
        </row>
        <row r="61">
          <cell r="C61" t="str">
            <v>PLANT 4328</v>
          </cell>
          <cell r="D61" t="str">
            <v>Basic Value</v>
          </cell>
          <cell r="E61" t="str">
            <v>CGST</v>
          </cell>
          <cell r="F61" t="str">
            <v>SGST</v>
          </cell>
          <cell r="G61" t="str">
            <v>S.Cess</v>
          </cell>
          <cell r="H61" t="str">
            <v>Total</v>
          </cell>
        </row>
        <row r="62">
          <cell r="C62"/>
          <cell r="D62"/>
          <cell r="E62"/>
          <cell r="F62"/>
          <cell r="G62"/>
          <cell r="H62"/>
        </row>
        <row r="63">
          <cell r="C63" t="str">
            <v>SI20331/000017 Oct'20</v>
          </cell>
          <cell r="D63">
            <v>2641904.534</v>
          </cell>
          <cell r="E63">
            <v>158514.27203999998</v>
          </cell>
          <cell r="F63">
            <v>158514.27203999998</v>
          </cell>
          <cell r="G63"/>
          <cell r="H63">
            <v>2958933.0780800004</v>
          </cell>
        </row>
        <row r="64">
          <cell r="C64" t="str">
            <v>Nov'20</v>
          </cell>
          <cell r="D64">
            <v>1476414.5619999999</v>
          </cell>
          <cell r="E64">
            <v>88584.873719999989</v>
          </cell>
          <cell r="F64">
            <v>88584.873719999989</v>
          </cell>
          <cell r="G64"/>
          <cell r="H64">
            <v>1653584.30944</v>
          </cell>
        </row>
        <row r="65">
          <cell r="C65"/>
          <cell r="D65"/>
          <cell r="E65">
            <v>0</v>
          </cell>
          <cell r="F65">
            <v>0</v>
          </cell>
          <cell r="G65"/>
          <cell r="H65">
            <v>0</v>
          </cell>
        </row>
        <row r="66">
          <cell r="C66" t="str">
            <v>TOTAL OS 4328</v>
          </cell>
          <cell r="D66">
            <v>4118319.0959999999</v>
          </cell>
          <cell r="E66">
            <v>247099.14575999998</v>
          </cell>
          <cell r="F66">
            <v>247099.14575999998</v>
          </cell>
          <cell r="G66" t="e">
            <v>#REF!</v>
          </cell>
          <cell r="H66">
            <v>4612517.3875200003</v>
          </cell>
        </row>
        <row r="67">
          <cell r="C67"/>
          <cell r="D67"/>
          <cell r="E67"/>
          <cell r="F67"/>
          <cell r="G67"/>
          <cell r="H67"/>
        </row>
        <row r="68">
          <cell r="C68"/>
          <cell r="D68"/>
          <cell r="E68"/>
          <cell r="F68"/>
          <cell r="G68"/>
          <cell r="H68"/>
        </row>
        <row r="69">
          <cell r="C69" t="str">
            <v>PLANT 1164</v>
          </cell>
          <cell r="D69" t="str">
            <v>Basic Value</v>
          </cell>
          <cell r="E69" t="str">
            <v>Service tax</v>
          </cell>
          <cell r="F69" t="str">
            <v>E.Cess</v>
          </cell>
          <cell r="G69" t="str">
            <v>S.Cess</v>
          </cell>
          <cell r="H69" t="str">
            <v>Total</v>
          </cell>
        </row>
        <row r="70">
          <cell r="C70"/>
          <cell r="D70"/>
          <cell r="E70"/>
          <cell r="F70"/>
          <cell r="G70"/>
          <cell r="H70"/>
        </row>
        <row r="71">
          <cell r="C71" t="str">
            <v>BMWIL-GMH-65 September</v>
          </cell>
          <cell r="D71">
            <v>864374.05</v>
          </cell>
          <cell r="E71">
            <v>77793.664499999999</v>
          </cell>
          <cell r="F71">
            <v>77793.664499999999</v>
          </cell>
          <cell r="G71"/>
          <cell r="H71">
            <v>1019961.379</v>
          </cell>
        </row>
        <row r="72">
          <cell r="C72" t="str">
            <v>BMWIL-GMH-75 October</v>
          </cell>
          <cell r="D72">
            <v>2709071.92</v>
          </cell>
          <cell r="E72">
            <v>243816.47279999999</v>
          </cell>
          <cell r="F72">
            <v>243816.47279999999</v>
          </cell>
          <cell r="G72"/>
          <cell r="H72">
            <v>3196704.8656000001</v>
          </cell>
        </row>
        <row r="73">
          <cell r="C73" t="str">
            <v>SV1501000007 November</v>
          </cell>
          <cell r="D73">
            <v>1075286.8899999999</v>
          </cell>
          <cell r="E73">
            <v>96775.820099999983</v>
          </cell>
          <cell r="F73">
            <v>96775.820099999983</v>
          </cell>
          <cell r="G73"/>
          <cell r="H73">
            <v>1268838.5301999997</v>
          </cell>
        </row>
        <row r="74">
          <cell r="C74" t="str">
            <v>TOTAL OS 1164</v>
          </cell>
          <cell r="D74">
            <v>4648732.8599999994</v>
          </cell>
          <cell r="E74">
            <v>418385.95739999996</v>
          </cell>
          <cell r="F74">
            <v>418385.95739999996</v>
          </cell>
          <cell r="G74" t="e">
            <v>#REF!</v>
          </cell>
          <cell r="H74">
            <v>5485504.7747999998</v>
          </cell>
        </row>
        <row r="75">
          <cell r="C75"/>
          <cell r="D75"/>
          <cell r="E75"/>
          <cell r="F75"/>
          <cell r="G75"/>
          <cell r="H75"/>
        </row>
        <row r="76">
          <cell r="C76"/>
          <cell r="D76"/>
          <cell r="E76"/>
          <cell r="F76"/>
          <cell r="G76"/>
          <cell r="H76"/>
        </row>
        <row r="77">
          <cell r="C77" t="str">
            <v>PLANT 1163</v>
          </cell>
          <cell r="D77" t="str">
            <v>Basic Value</v>
          </cell>
          <cell r="E77" t="str">
            <v>CGST</v>
          </cell>
          <cell r="F77" t="str">
            <v>SGST</v>
          </cell>
          <cell r="G77" t="str">
            <v>S.Cess</v>
          </cell>
          <cell r="H77" t="str">
            <v>Total</v>
          </cell>
        </row>
        <row r="78">
          <cell r="C78"/>
          <cell r="D78"/>
          <cell r="E78"/>
          <cell r="F78"/>
          <cell r="G78"/>
          <cell r="H78"/>
        </row>
        <row r="79">
          <cell r="C79" t="str">
            <v>SV1501000005 November</v>
          </cell>
          <cell r="D79">
            <v>766625.34</v>
          </cell>
          <cell r="E79">
            <v>68996.280599999998</v>
          </cell>
          <cell r="F79">
            <v>68996.280599999998</v>
          </cell>
          <cell r="G79"/>
          <cell r="H79">
            <v>904617.90119999996</v>
          </cell>
        </row>
        <row r="80">
          <cell r="C80" t="str">
            <v>TOTAL OS 1163</v>
          </cell>
          <cell r="D80">
            <v>766625.34</v>
          </cell>
          <cell r="E80">
            <v>68996.280599999998</v>
          </cell>
          <cell r="F80">
            <v>68996.280599999998</v>
          </cell>
          <cell r="G80" t="e">
            <v>#REF!</v>
          </cell>
          <cell r="H80">
            <v>904617.90119999996</v>
          </cell>
        </row>
        <row r="81">
          <cell r="C81"/>
          <cell r="D81"/>
          <cell r="E81"/>
          <cell r="F81"/>
          <cell r="G81"/>
          <cell r="H81"/>
        </row>
        <row r="82">
          <cell r="C82"/>
          <cell r="D82"/>
          <cell r="E82"/>
          <cell r="F82"/>
          <cell r="G82"/>
          <cell r="H82"/>
        </row>
        <row r="83">
          <cell r="C83" t="str">
            <v>PLANT 1111</v>
          </cell>
          <cell r="D83" t="str">
            <v>Basic Value</v>
          </cell>
          <cell r="E83" t="str">
            <v>CGST</v>
          </cell>
          <cell r="F83" t="str">
            <v>SGST</v>
          </cell>
          <cell r="G83" t="str">
            <v>S.Cess</v>
          </cell>
          <cell r="H83" t="str">
            <v>Total</v>
          </cell>
        </row>
        <row r="84">
          <cell r="C84" t="str">
            <v>Prov Conv October</v>
          </cell>
          <cell r="D84">
            <v>1096419.4639999999</v>
          </cell>
          <cell r="E84">
            <v>98677.751759999985</v>
          </cell>
          <cell r="F84">
            <v>98677.751759999985</v>
          </cell>
          <cell r="G84"/>
          <cell r="H84">
            <v>1293774.9675199997</v>
          </cell>
        </row>
        <row r="85">
          <cell r="C85" t="str">
            <v>Nov'20 Prov November</v>
          </cell>
          <cell r="D85">
            <v>906686.23</v>
          </cell>
          <cell r="E85">
            <v>81601.760699999999</v>
          </cell>
          <cell r="F85">
            <v>81601.760699999999</v>
          </cell>
          <cell r="G85"/>
          <cell r="H85">
            <v>1069889.7514</v>
          </cell>
        </row>
        <row r="86">
          <cell r="C86" t="str">
            <v>TOTAL OS 1111</v>
          </cell>
          <cell r="D86">
            <v>2003105.6939999999</v>
          </cell>
          <cell r="E86">
            <v>180279.51246</v>
          </cell>
          <cell r="F86">
            <v>180279.51246</v>
          </cell>
          <cell r="G86" t="e">
            <v>#REF!</v>
          </cell>
          <cell r="H86">
            <v>2363664.7189199999</v>
          </cell>
        </row>
        <row r="87">
          <cell r="C87"/>
          <cell r="D87"/>
          <cell r="E87"/>
          <cell r="F87"/>
          <cell r="G87"/>
          <cell r="H87"/>
        </row>
        <row r="88">
          <cell r="C88"/>
          <cell r="D88"/>
          <cell r="E88"/>
          <cell r="F88"/>
          <cell r="G88"/>
          <cell r="H88"/>
        </row>
        <row r="89">
          <cell r="C89" t="str">
            <v>PLANT 2248</v>
          </cell>
          <cell r="D89" t="str">
            <v>Basic Value</v>
          </cell>
          <cell r="E89" t="str">
            <v>CGST</v>
          </cell>
          <cell r="F89" t="str">
            <v>SGST</v>
          </cell>
          <cell r="G89" t="str">
            <v>S.Cess</v>
          </cell>
          <cell r="H89" t="str">
            <v>Total</v>
          </cell>
        </row>
        <row r="90">
          <cell r="C90"/>
          <cell r="D90"/>
          <cell r="E90"/>
          <cell r="F90"/>
          <cell r="G90"/>
          <cell r="H90"/>
        </row>
        <row r="91">
          <cell r="C91" t="str">
            <v>AHPL-V/158 November</v>
          </cell>
          <cell r="D91">
            <v>1285287.78</v>
          </cell>
          <cell r="E91">
            <v>115675.9002</v>
          </cell>
          <cell r="F91">
            <v>115675.9002</v>
          </cell>
          <cell r="G91"/>
          <cell r="H91">
            <v>1516639.5804000001</v>
          </cell>
        </row>
        <row r="92">
          <cell r="C92" t="str">
            <v>TOTAL OS 2248</v>
          </cell>
          <cell r="D92">
            <v>1285287.78</v>
          </cell>
          <cell r="E92">
            <v>115675.9002</v>
          </cell>
          <cell r="F92">
            <v>115675.9002</v>
          </cell>
          <cell r="G92" t="e">
            <v>#REF!</v>
          </cell>
          <cell r="H92">
            <v>1516639.5804000001</v>
          </cell>
        </row>
        <row r="93">
          <cell r="C93"/>
          <cell r="D93"/>
          <cell r="E93"/>
          <cell r="F93"/>
          <cell r="G93"/>
          <cell r="H93"/>
        </row>
        <row r="94">
          <cell r="C94"/>
          <cell r="D94"/>
          <cell r="E94"/>
          <cell r="F94"/>
          <cell r="G94"/>
          <cell r="H94"/>
        </row>
        <row r="95">
          <cell r="C95" t="str">
            <v>PLANT 3119</v>
          </cell>
          <cell r="D95" t="str">
            <v>Basic Value</v>
          </cell>
          <cell r="E95" t="str">
            <v>Service tax</v>
          </cell>
          <cell r="F95" t="str">
            <v>E.Cess</v>
          </cell>
          <cell r="G95" t="str">
            <v>S.Cess</v>
          </cell>
          <cell r="H95" t="str">
            <v>Total</v>
          </cell>
        </row>
        <row r="96">
          <cell r="C96"/>
          <cell r="D96">
            <v>0</v>
          </cell>
          <cell r="E96">
            <v>0</v>
          </cell>
          <cell r="F96"/>
          <cell r="G96"/>
          <cell r="H96">
            <v>0</v>
          </cell>
        </row>
        <row r="97">
          <cell r="C97" t="str">
            <v>TOTAL OS 3119</v>
          </cell>
          <cell r="D97">
            <v>0</v>
          </cell>
          <cell r="E97">
            <v>0</v>
          </cell>
          <cell r="F97">
            <v>0</v>
          </cell>
          <cell r="G97" t="e">
            <v>#REF!</v>
          </cell>
          <cell r="H97">
            <v>0</v>
          </cell>
        </row>
        <row r="98">
          <cell r="C98"/>
          <cell r="D98"/>
          <cell r="E98"/>
          <cell r="F98"/>
          <cell r="G98"/>
          <cell r="H98"/>
        </row>
        <row r="99">
          <cell r="C99"/>
          <cell r="D99"/>
          <cell r="E99"/>
          <cell r="F99"/>
          <cell r="G99"/>
          <cell r="H99"/>
        </row>
        <row r="100">
          <cell r="C100" t="str">
            <v>PLANT 2242</v>
          </cell>
          <cell r="D100" t="str">
            <v>Basic Value</v>
          </cell>
          <cell r="E100" t="str">
            <v>Service tax</v>
          </cell>
          <cell r="F100" t="str">
            <v>E.Cess</v>
          </cell>
          <cell r="G100" t="str">
            <v>S.Cess</v>
          </cell>
          <cell r="H100" t="str">
            <v>Total</v>
          </cell>
        </row>
        <row r="101">
          <cell r="C101"/>
          <cell r="D101">
            <v>0</v>
          </cell>
          <cell r="E101">
            <v>0</v>
          </cell>
          <cell r="F101"/>
          <cell r="G101"/>
          <cell r="H101">
            <v>0</v>
          </cell>
        </row>
        <row r="102">
          <cell r="C102" t="str">
            <v>TOTAL OS 2242</v>
          </cell>
          <cell r="D102">
            <v>0</v>
          </cell>
          <cell r="E102">
            <v>0</v>
          </cell>
          <cell r="F102">
            <v>0</v>
          </cell>
          <cell r="G102" t="e">
            <v>#REF!</v>
          </cell>
          <cell r="H102">
            <v>0</v>
          </cell>
        </row>
        <row r="103">
          <cell r="C103"/>
          <cell r="D103"/>
          <cell r="E103"/>
          <cell r="F103"/>
          <cell r="G103"/>
          <cell r="H103"/>
        </row>
        <row r="104">
          <cell r="C104"/>
          <cell r="D104"/>
          <cell r="E104"/>
          <cell r="F104"/>
          <cell r="G104"/>
          <cell r="H104"/>
        </row>
        <row r="105">
          <cell r="C105" t="str">
            <v>PLANT 2223</v>
          </cell>
          <cell r="D105" t="str">
            <v>Basic Value</v>
          </cell>
          <cell r="E105" t="str">
            <v>Service tax</v>
          </cell>
          <cell r="F105" t="str">
            <v>E.Cess</v>
          </cell>
          <cell r="G105" t="str">
            <v>S.Cess</v>
          </cell>
          <cell r="H105" t="str">
            <v>Total</v>
          </cell>
        </row>
        <row r="106">
          <cell r="C106"/>
          <cell r="D106">
            <v>0</v>
          </cell>
          <cell r="E106">
            <v>0</v>
          </cell>
          <cell r="F106"/>
          <cell r="G106"/>
          <cell r="H106">
            <v>0</v>
          </cell>
        </row>
        <row r="107">
          <cell r="C107" t="str">
            <v>TOTAL OS 2223</v>
          </cell>
          <cell r="D107">
            <v>0</v>
          </cell>
          <cell r="E107">
            <v>0</v>
          </cell>
          <cell r="F107">
            <v>0</v>
          </cell>
          <cell r="G107" t="e">
            <v>#REF!</v>
          </cell>
          <cell r="H107">
            <v>0</v>
          </cell>
        </row>
        <row r="108">
          <cell r="C108"/>
          <cell r="D108"/>
          <cell r="E108"/>
          <cell r="F108"/>
          <cell r="G108"/>
          <cell r="H108"/>
        </row>
        <row r="109">
          <cell r="C109"/>
          <cell r="D109"/>
          <cell r="E109"/>
          <cell r="F109"/>
          <cell r="G109"/>
          <cell r="H109"/>
        </row>
        <row r="110">
          <cell r="C110" t="str">
            <v>PLANT 1121</v>
          </cell>
          <cell r="D110" t="str">
            <v>Basic Value</v>
          </cell>
          <cell r="E110" t="str">
            <v>Service tax</v>
          </cell>
          <cell r="F110" t="str">
            <v>E.Cess</v>
          </cell>
          <cell r="G110" t="str">
            <v>S.Cess</v>
          </cell>
          <cell r="H110" t="str">
            <v>Total</v>
          </cell>
        </row>
        <row r="111">
          <cell r="C111"/>
          <cell r="D111">
            <v>0</v>
          </cell>
          <cell r="E111">
            <v>0</v>
          </cell>
          <cell r="F111"/>
          <cell r="G111"/>
          <cell r="H111">
            <v>0</v>
          </cell>
        </row>
        <row r="112">
          <cell r="C112" t="str">
            <v>SI20202/000102 October'20</v>
          </cell>
          <cell r="D112">
            <v>2775.6190000000001</v>
          </cell>
          <cell r="E112">
            <v>249.80571</v>
          </cell>
          <cell r="F112">
            <v>249.80571</v>
          </cell>
          <cell r="G112"/>
          <cell r="H112">
            <v>3275.2304200000003</v>
          </cell>
        </row>
        <row r="113">
          <cell r="C113" t="str">
            <v>TOTAL OS 1121</v>
          </cell>
          <cell r="D113">
            <v>2775.6190000000001</v>
          </cell>
          <cell r="E113">
            <v>249.80571</v>
          </cell>
          <cell r="F113">
            <v>249.80571</v>
          </cell>
          <cell r="G113" t="e">
            <v>#REF!</v>
          </cell>
          <cell r="H113">
            <v>3275.2304200000003</v>
          </cell>
        </row>
        <row r="114">
          <cell r="C114"/>
          <cell r="D114"/>
          <cell r="E114"/>
          <cell r="F114"/>
          <cell r="G114"/>
          <cell r="H114"/>
        </row>
        <row r="115">
          <cell r="C115"/>
          <cell r="D115"/>
          <cell r="E115"/>
          <cell r="F115"/>
          <cell r="G115"/>
          <cell r="H115"/>
        </row>
        <row r="116">
          <cell r="C116" t="str">
            <v>PLANT 3151</v>
          </cell>
          <cell r="D116" t="str">
            <v>Basic Value</v>
          </cell>
          <cell r="E116" t="str">
            <v>Service tax</v>
          </cell>
          <cell r="F116" t="str">
            <v>E.Cess</v>
          </cell>
          <cell r="G116" t="str">
            <v>S.Cess</v>
          </cell>
          <cell r="H116" t="str">
            <v>Total</v>
          </cell>
        </row>
        <row r="117">
          <cell r="C117"/>
          <cell r="D117">
            <v>0</v>
          </cell>
          <cell r="E117">
            <v>0</v>
          </cell>
          <cell r="F117"/>
          <cell r="G117"/>
          <cell r="H117">
            <v>0</v>
          </cell>
        </row>
        <row r="118">
          <cell r="C118" t="str">
            <v>TOTAL OS 3151</v>
          </cell>
          <cell r="D118">
            <v>0</v>
          </cell>
          <cell r="E118">
            <v>0</v>
          </cell>
          <cell r="F118">
            <v>0</v>
          </cell>
          <cell r="G118" t="e">
            <v>#REF!</v>
          </cell>
          <cell r="H118">
            <v>0</v>
          </cell>
        </row>
        <row r="119">
          <cell r="C119"/>
          <cell r="D119"/>
          <cell r="E119"/>
          <cell r="F119"/>
          <cell r="G119"/>
          <cell r="H119"/>
        </row>
        <row r="120">
          <cell r="C120"/>
          <cell r="D120"/>
          <cell r="E120"/>
          <cell r="F120"/>
          <cell r="G120"/>
          <cell r="H120"/>
        </row>
        <row r="121">
          <cell r="C121" t="str">
            <v>PLANT 3131</v>
          </cell>
          <cell r="D121" t="str">
            <v>Basic Value</v>
          </cell>
          <cell r="E121" t="str">
            <v>CGST</v>
          </cell>
          <cell r="F121" t="str">
            <v>SGST</v>
          </cell>
          <cell r="G121" t="str">
            <v>S.Cess</v>
          </cell>
          <cell r="H121" t="str">
            <v>Total</v>
          </cell>
        </row>
        <row r="122">
          <cell r="C122"/>
          <cell r="D122"/>
          <cell r="E122">
            <v>0</v>
          </cell>
          <cell r="F122">
            <v>0</v>
          </cell>
          <cell r="G122"/>
          <cell r="H122">
            <v>0</v>
          </cell>
        </row>
        <row r="123">
          <cell r="C123" t="str">
            <v>SI20271/000099 Oct'20</v>
          </cell>
          <cell r="D123">
            <v>36736.873</v>
          </cell>
          <cell r="E123">
            <v>3306.3185699999999</v>
          </cell>
          <cell r="F123">
            <v>3306.3185699999999</v>
          </cell>
          <cell r="G123"/>
          <cell r="H123">
            <v>43349.510140000006</v>
          </cell>
        </row>
        <row r="124">
          <cell r="C124" t="str">
            <v>Nov'20</v>
          </cell>
          <cell r="D124">
            <v>74101.790999999997</v>
          </cell>
          <cell r="E124">
            <v>6669.1611899999998</v>
          </cell>
          <cell r="F124">
            <v>6669.1611899999998</v>
          </cell>
          <cell r="G124"/>
          <cell r="H124">
            <v>87440.113379999995</v>
          </cell>
        </row>
        <row r="125">
          <cell r="C125" t="str">
            <v>TOTAL OS 3131</v>
          </cell>
          <cell r="D125">
            <v>110838.66399999999</v>
          </cell>
          <cell r="E125">
            <v>9975.4797600000002</v>
          </cell>
          <cell r="F125">
            <v>9975.4797600000002</v>
          </cell>
          <cell r="G125" t="e">
            <v>#REF!</v>
          </cell>
          <cell r="H125">
            <v>130789.62351999999</v>
          </cell>
        </row>
        <row r="126">
          <cell r="C126"/>
          <cell r="D126"/>
          <cell r="E126"/>
          <cell r="F126"/>
          <cell r="G126"/>
          <cell r="H126"/>
        </row>
        <row r="127">
          <cell r="C127"/>
          <cell r="D127"/>
          <cell r="E127"/>
          <cell r="F127"/>
          <cell r="G127"/>
          <cell r="H127"/>
        </row>
        <row r="128">
          <cell r="C128" t="str">
            <v>PLANT 3155</v>
          </cell>
          <cell r="D128" t="str">
            <v>Basic Value</v>
          </cell>
          <cell r="E128" t="str">
            <v>CGST</v>
          </cell>
          <cell r="F128" t="str">
            <v>SGST</v>
          </cell>
          <cell r="G128" t="str">
            <v>S.Cess</v>
          </cell>
          <cell r="H128" t="str">
            <v>Total</v>
          </cell>
        </row>
        <row r="129">
          <cell r="C129"/>
          <cell r="D129"/>
          <cell r="E129"/>
          <cell r="F129"/>
          <cell r="G129"/>
          <cell r="H129"/>
        </row>
        <row r="130">
          <cell r="C130" t="str">
            <v>SI20271/000100 October'20</v>
          </cell>
          <cell r="D130">
            <v>4530679.6900000004</v>
          </cell>
          <cell r="E130">
            <v>407761.17210000003</v>
          </cell>
          <cell r="F130">
            <v>407761.17210000003</v>
          </cell>
          <cell r="G130"/>
          <cell r="H130">
            <v>5346202.0342000006</v>
          </cell>
        </row>
        <row r="131">
          <cell r="C131" t="str">
            <v>Nov'20</v>
          </cell>
          <cell r="D131">
            <v>5156251.9060000004</v>
          </cell>
          <cell r="E131">
            <v>464062.67154000001</v>
          </cell>
          <cell r="F131">
            <v>464062.67154000001</v>
          </cell>
          <cell r="G131"/>
          <cell r="H131">
            <v>6084377.2490800004</v>
          </cell>
        </row>
        <row r="132">
          <cell r="C132" t="str">
            <v>TOTAL OS 3155</v>
          </cell>
          <cell r="D132">
            <v>9686931.5960000008</v>
          </cell>
          <cell r="E132">
            <v>871823.84364000009</v>
          </cell>
          <cell r="F132">
            <v>871823.84364000009</v>
          </cell>
          <cell r="G132" t="e">
            <v>#REF!</v>
          </cell>
          <cell r="H132">
            <v>11430579.28328</v>
          </cell>
        </row>
        <row r="133">
          <cell r="C133"/>
          <cell r="D133"/>
          <cell r="E133"/>
          <cell r="F133"/>
          <cell r="G133"/>
          <cell r="H133"/>
        </row>
        <row r="134">
          <cell r="C134"/>
          <cell r="D134"/>
          <cell r="E134"/>
          <cell r="F134"/>
          <cell r="G134"/>
          <cell r="H134"/>
        </row>
        <row r="135">
          <cell r="C135" t="str">
            <v>PLANT 2218</v>
          </cell>
          <cell r="D135" t="str">
            <v>Basic Value</v>
          </cell>
          <cell r="E135" t="str">
            <v>Service tax</v>
          </cell>
          <cell r="F135" t="str">
            <v>E.Cess</v>
          </cell>
          <cell r="G135" t="str">
            <v>S.Cess</v>
          </cell>
          <cell r="H135" t="str">
            <v>Total</v>
          </cell>
        </row>
        <row r="136">
          <cell r="C136"/>
          <cell r="D136">
            <v>0</v>
          </cell>
          <cell r="E136">
            <v>0</v>
          </cell>
          <cell r="F136">
            <v>0</v>
          </cell>
          <cell r="G136"/>
          <cell r="H136">
            <v>0</v>
          </cell>
        </row>
        <row r="137">
          <cell r="C137" t="str">
            <v>TOTAL OS 2218</v>
          </cell>
          <cell r="D137">
            <v>0</v>
          </cell>
          <cell r="E137">
            <v>0</v>
          </cell>
          <cell r="F137">
            <v>0</v>
          </cell>
          <cell r="G137" t="e">
            <v>#REF!</v>
          </cell>
          <cell r="H137">
            <v>0</v>
          </cell>
        </row>
        <row r="138">
          <cell r="C138"/>
          <cell r="D138"/>
          <cell r="E138"/>
          <cell r="F138"/>
          <cell r="G138"/>
          <cell r="H138"/>
        </row>
        <row r="139">
          <cell r="C139"/>
          <cell r="D139"/>
          <cell r="E139"/>
          <cell r="F139"/>
          <cell r="G139"/>
          <cell r="H139"/>
        </row>
        <row r="140">
          <cell r="C140" t="str">
            <v>PLANT 1135</v>
          </cell>
          <cell r="D140" t="str">
            <v>Basic Value</v>
          </cell>
          <cell r="E140" t="str">
            <v>CGST</v>
          </cell>
          <cell r="F140" t="str">
            <v>SGST</v>
          </cell>
          <cell r="G140" t="str">
            <v>S.Cess</v>
          </cell>
          <cell r="H140" t="str">
            <v>Total</v>
          </cell>
        </row>
        <row r="141">
          <cell r="C141"/>
          <cell r="D141"/>
          <cell r="E141"/>
          <cell r="F141"/>
          <cell r="G141"/>
          <cell r="H141"/>
        </row>
        <row r="142">
          <cell r="C142" t="str">
            <v>TOTAL OS 1135</v>
          </cell>
          <cell r="D142">
            <v>0</v>
          </cell>
          <cell r="E142">
            <v>0</v>
          </cell>
          <cell r="F142">
            <v>0</v>
          </cell>
          <cell r="G142" t="e">
            <v>#REF!</v>
          </cell>
          <cell r="H142">
            <v>0</v>
          </cell>
        </row>
        <row r="143">
          <cell r="C143"/>
          <cell r="D143"/>
          <cell r="E143"/>
          <cell r="F143"/>
          <cell r="G143"/>
          <cell r="H143"/>
        </row>
        <row r="144">
          <cell r="C144"/>
          <cell r="D144"/>
          <cell r="E144"/>
          <cell r="F144"/>
          <cell r="G144"/>
          <cell r="H144"/>
        </row>
        <row r="145">
          <cell r="C145" t="str">
            <v>PLANT 1179</v>
          </cell>
          <cell r="D145" t="str">
            <v>Basic Value</v>
          </cell>
          <cell r="E145" t="str">
            <v>Service tax</v>
          </cell>
          <cell r="F145" t="str">
            <v>E.Cess</v>
          </cell>
          <cell r="G145" t="str">
            <v>S.Cess</v>
          </cell>
          <cell r="H145" t="str">
            <v>Total</v>
          </cell>
        </row>
        <row r="146">
          <cell r="C146"/>
          <cell r="D146">
            <v>0</v>
          </cell>
          <cell r="E146">
            <v>0</v>
          </cell>
          <cell r="F146"/>
          <cell r="G146"/>
          <cell r="H146">
            <v>0</v>
          </cell>
        </row>
        <row r="147">
          <cell r="C147" t="str">
            <v>TOTAL OS 1179</v>
          </cell>
          <cell r="D147">
            <v>0</v>
          </cell>
          <cell r="E147">
            <v>0</v>
          </cell>
          <cell r="F147">
            <v>0</v>
          </cell>
          <cell r="G147" t="e">
            <v>#REF!</v>
          </cell>
          <cell r="H147">
            <v>0</v>
          </cell>
        </row>
        <row r="148">
          <cell r="C148"/>
          <cell r="D148"/>
          <cell r="E148"/>
          <cell r="F148"/>
          <cell r="G148"/>
          <cell r="H148"/>
        </row>
        <row r="149">
          <cell r="C149"/>
          <cell r="D149"/>
          <cell r="E149"/>
          <cell r="F149"/>
          <cell r="G149"/>
          <cell r="H149"/>
        </row>
        <row r="150">
          <cell r="C150" t="str">
            <v>PLANT 1228</v>
          </cell>
          <cell r="D150" t="str">
            <v>Basic Value</v>
          </cell>
          <cell r="E150" t="str">
            <v>Service tax</v>
          </cell>
          <cell r="F150" t="str">
            <v>E.Cess</v>
          </cell>
          <cell r="G150" t="str">
            <v>S.Cess</v>
          </cell>
          <cell r="H150" t="str">
            <v>Total</v>
          </cell>
        </row>
        <row r="151">
          <cell r="C151"/>
          <cell r="D151">
            <v>0</v>
          </cell>
          <cell r="E151">
            <v>0</v>
          </cell>
          <cell r="F151"/>
          <cell r="G151"/>
          <cell r="H151">
            <v>0</v>
          </cell>
        </row>
        <row r="152">
          <cell r="C152" t="str">
            <v>TOTAL OS 1228</v>
          </cell>
          <cell r="D152">
            <v>0</v>
          </cell>
          <cell r="E152">
            <v>0</v>
          </cell>
          <cell r="F152">
            <v>0</v>
          </cell>
          <cell r="G152" t="e">
            <v>#REF!</v>
          </cell>
          <cell r="H152">
            <v>0</v>
          </cell>
        </row>
        <row r="153">
          <cell r="C153"/>
          <cell r="D153"/>
          <cell r="E153"/>
          <cell r="F153"/>
          <cell r="G153"/>
          <cell r="H153"/>
        </row>
        <row r="154">
          <cell r="C154"/>
          <cell r="D154"/>
          <cell r="E154"/>
          <cell r="F154"/>
          <cell r="G154"/>
          <cell r="H154"/>
        </row>
        <row r="155">
          <cell r="C155" t="str">
            <v>PLANT 3112</v>
          </cell>
          <cell r="D155" t="str">
            <v>Basic Value</v>
          </cell>
          <cell r="E155" t="str">
            <v>CGST</v>
          </cell>
          <cell r="F155" t="str">
            <v>SGST</v>
          </cell>
          <cell r="G155" t="str">
            <v>S.Cess</v>
          </cell>
          <cell r="H155" t="str">
            <v>Total</v>
          </cell>
        </row>
        <row r="156">
          <cell r="C156"/>
          <cell r="D156"/>
          <cell r="E156"/>
          <cell r="F156"/>
          <cell r="G156"/>
          <cell r="H156"/>
        </row>
        <row r="157">
          <cell r="C157" t="str">
            <v>JW/2021/00779 October</v>
          </cell>
          <cell r="D157">
            <v>626127.79</v>
          </cell>
          <cell r="E157">
            <v>56351.501100000001</v>
          </cell>
          <cell r="F157">
            <v>56351.501100000001</v>
          </cell>
          <cell r="G157"/>
          <cell r="H157">
            <v>738830.79220000003</v>
          </cell>
        </row>
        <row r="158">
          <cell r="C158" t="str">
            <v>JW/2021/00944 November</v>
          </cell>
          <cell r="D158">
            <v>1035094.8</v>
          </cell>
          <cell r="E158">
            <v>93158.532000000007</v>
          </cell>
          <cell r="F158">
            <v>93158.532000000007</v>
          </cell>
          <cell r="G158"/>
          <cell r="H158">
            <v>1221411.8640000001</v>
          </cell>
        </row>
        <row r="159">
          <cell r="C159" t="str">
            <v>TOTAL OS 3112</v>
          </cell>
          <cell r="D159">
            <v>1661222.59</v>
          </cell>
          <cell r="E159">
            <v>149510.0331</v>
          </cell>
          <cell r="F159">
            <v>149510.0331</v>
          </cell>
          <cell r="G159" t="e">
            <v>#REF!</v>
          </cell>
          <cell r="H159">
            <v>1960242.6562000001</v>
          </cell>
        </row>
        <row r="160">
          <cell r="C160"/>
          <cell r="D160"/>
          <cell r="E160"/>
          <cell r="F160"/>
          <cell r="G160"/>
          <cell r="H160"/>
        </row>
        <row r="161">
          <cell r="C161"/>
          <cell r="D161"/>
          <cell r="E161"/>
          <cell r="F161"/>
          <cell r="G161"/>
          <cell r="H161"/>
        </row>
        <row r="162">
          <cell r="C162" t="str">
            <v>PLANT 3154</v>
          </cell>
          <cell r="D162" t="str">
            <v>Basic Value</v>
          </cell>
          <cell r="E162" t="str">
            <v>CGST</v>
          </cell>
          <cell r="F162" t="str">
            <v>SGST</v>
          </cell>
          <cell r="G162" t="str">
            <v>S.Cess</v>
          </cell>
          <cell r="H162" t="str">
            <v>Total</v>
          </cell>
        </row>
        <row r="163">
          <cell r="C163"/>
          <cell r="D163"/>
          <cell r="E163"/>
          <cell r="F163"/>
          <cell r="G163"/>
          <cell r="H163"/>
        </row>
        <row r="164">
          <cell r="C164" t="str">
            <v>JW/2021/00945 November</v>
          </cell>
          <cell r="D164">
            <v>69296.92</v>
          </cell>
          <cell r="E164">
            <v>6236.7227999999996</v>
          </cell>
          <cell r="F164">
            <v>6236.7227999999996</v>
          </cell>
          <cell r="G164"/>
          <cell r="H164">
            <v>81770.365600000005</v>
          </cell>
        </row>
        <row r="165">
          <cell r="C165" t="str">
            <v>TOTAL OS 3154</v>
          </cell>
          <cell r="D165">
            <v>69296.92</v>
          </cell>
          <cell r="E165">
            <v>6236.7227999999996</v>
          </cell>
          <cell r="F165">
            <v>6236.7227999999996</v>
          </cell>
          <cell r="G165" t="e">
            <v>#REF!</v>
          </cell>
          <cell r="H165">
            <v>81770.365600000005</v>
          </cell>
        </row>
        <row r="166">
          <cell r="C166"/>
          <cell r="D166"/>
          <cell r="E166"/>
          <cell r="F166"/>
          <cell r="G166"/>
          <cell r="H166"/>
        </row>
        <row r="167">
          <cell r="C167"/>
          <cell r="D167"/>
          <cell r="E167"/>
          <cell r="F167"/>
          <cell r="G167"/>
          <cell r="H167"/>
        </row>
        <row r="168">
          <cell r="C168" t="str">
            <v>PLANT 1267</v>
          </cell>
          <cell r="D168" t="str">
            <v>Basic Value</v>
          </cell>
          <cell r="E168" t="str">
            <v>CGST</v>
          </cell>
          <cell r="F168" t="str">
            <v>SGST</v>
          </cell>
          <cell r="G168" t="str">
            <v>S.Cess</v>
          </cell>
          <cell r="H168" t="str">
            <v>Total</v>
          </cell>
        </row>
        <row r="169">
          <cell r="C169"/>
          <cell r="D169"/>
          <cell r="E169"/>
          <cell r="F169"/>
          <cell r="G169"/>
          <cell r="H169"/>
        </row>
        <row r="170">
          <cell r="C170" t="str">
            <v>TOTAL OS 1267</v>
          </cell>
          <cell r="D170">
            <v>0</v>
          </cell>
          <cell r="E170">
            <v>0</v>
          </cell>
          <cell r="F170">
            <v>0</v>
          </cell>
          <cell r="G170" t="e">
            <v>#REF!</v>
          </cell>
          <cell r="H170">
            <v>0</v>
          </cell>
        </row>
        <row r="171">
          <cell r="C171"/>
          <cell r="D171"/>
          <cell r="E171"/>
          <cell r="F171"/>
          <cell r="G171"/>
          <cell r="H171"/>
        </row>
        <row r="172">
          <cell r="C172"/>
          <cell r="D172"/>
          <cell r="E172"/>
          <cell r="F172"/>
          <cell r="G172"/>
          <cell r="H172"/>
        </row>
        <row r="173">
          <cell r="C173" t="str">
            <v>PLANT 2025</v>
          </cell>
          <cell r="D173" t="str">
            <v>Basic Value</v>
          </cell>
          <cell r="E173" t="str">
            <v>CGST</v>
          </cell>
          <cell r="F173" t="str">
            <v>SGST</v>
          </cell>
          <cell r="G173" t="str">
            <v>S.Cess</v>
          </cell>
          <cell r="H173" t="str">
            <v>Total</v>
          </cell>
        </row>
        <row r="174">
          <cell r="C174"/>
          <cell r="D174"/>
          <cell r="E174"/>
          <cell r="F174"/>
          <cell r="G174"/>
          <cell r="H174"/>
        </row>
        <row r="175">
          <cell r="C175" t="str">
            <v>RCS000437 October</v>
          </cell>
          <cell r="D175">
            <v>206305.2</v>
          </cell>
          <cell r="E175">
            <v>18567.468000000001</v>
          </cell>
          <cell r="F175">
            <v>18567.468000000001</v>
          </cell>
          <cell r="G175"/>
          <cell r="H175">
            <v>243440.136</v>
          </cell>
        </row>
        <row r="176">
          <cell r="C176" t="str">
            <v>RCS000533 November</v>
          </cell>
          <cell r="D176">
            <v>147962.20000000001</v>
          </cell>
          <cell r="E176">
            <v>13316.598</v>
          </cell>
          <cell r="F176">
            <v>13316.598</v>
          </cell>
          <cell r="G176"/>
          <cell r="H176">
            <v>174595.39600000001</v>
          </cell>
        </row>
        <row r="177">
          <cell r="C177" t="str">
            <v>TOTAL OS 2025</v>
          </cell>
          <cell r="D177">
            <v>354267.4</v>
          </cell>
          <cell r="E177">
            <v>31884.065999999999</v>
          </cell>
          <cell r="F177">
            <v>31884.065999999999</v>
          </cell>
          <cell r="G177" t="e">
            <v>#REF!</v>
          </cell>
          <cell r="H177">
            <v>418035.53200000001</v>
          </cell>
        </row>
        <row r="178">
          <cell r="C178"/>
          <cell r="D178"/>
          <cell r="E178"/>
          <cell r="F178"/>
          <cell r="G178"/>
          <cell r="H178"/>
        </row>
        <row r="179">
          <cell r="C179"/>
          <cell r="D179"/>
          <cell r="E179"/>
          <cell r="F179"/>
          <cell r="G179"/>
          <cell r="H179"/>
        </row>
        <row r="180">
          <cell r="C180" t="str">
            <v>PLANT 1309</v>
          </cell>
          <cell r="D180" t="str">
            <v>Basic Value</v>
          </cell>
          <cell r="E180" t="str">
            <v>CGST</v>
          </cell>
          <cell r="F180" t="str">
            <v>SGST</v>
          </cell>
          <cell r="G180" t="str">
            <v>S.Cess</v>
          </cell>
          <cell r="H180" t="str">
            <v>Total</v>
          </cell>
        </row>
        <row r="181">
          <cell r="C181" t="str">
            <v>June'20</v>
          </cell>
          <cell r="D181">
            <v>118009.12</v>
          </cell>
          <cell r="E181">
            <v>7080.5471999999991</v>
          </cell>
          <cell r="F181">
            <v>7080.5471999999991</v>
          </cell>
          <cell r="G181"/>
          <cell r="H181">
            <v>132170.2144</v>
          </cell>
        </row>
        <row r="182">
          <cell r="C182" t="str">
            <v>2100003136 Sep'20</v>
          </cell>
          <cell r="D182">
            <v>225302.68</v>
          </cell>
          <cell r="E182">
            <v>13518.1608</v>
          </cell>
          <cell r="F182">
            <v>13518.1608</v>
          </cell>
          <cell r="G182"/>
          <cell r="H182">
            <v>252339.00160000002</v>
          </cell>
        </row>
        <row r="183">
          <cell r="C183" t="str">
            <v>2100003364 Oct'20</v>
          </cell>
          <cell r="D183">
            <v>806602.4</v>
          </cell>
          <cell r="E183">
            <v>48396.144</v>
          </cell>
          <cell r="F183">
            <v>48396.144</v>
          </cell>
          <cell r="G183"/>
          <cell r="H183">
            <v>903394.68799999997</v>
          </cell>
        </row>
        <row r="184">
          <cell r="C184" t="str">
            <v>210003869 'Nov'20</v>
          </cell>
          <cell r="D184">
            <v>501747.36</v>
          </cell>
          <cell r="E184">
            <v>30104.8416</v>
          </cell>
          <cell r="F184">
            <v>30104.8416</v>
          </cell>
          <cell r="G184"/>
          <cell r="H184">
            <v>561957.04320000007</v>
          </cell>
        </row>
        <row r="185">
          <cell r="C185" t="str">
            <v>TOTAL OS 1309</v>
          </cell>
          <cell r="D185">
            <v>1651661.56</v>
          </cell>
          <cell r="E185">
            <v>99099.693599999999</v>
          </cell>
          <cell r="F185">
            <v>99099.693599999999</v>
          </cell>
          <cell r="G185" t="e">
            <v>#REF!</v>
          </cell>
          <cell r="H185">
            <v>1849860.9472000003</v>
          </cell>
        </row>
        <row r="186">
          <cell r="D186"/>
        </row>
        <row r="187">
          <cell r="D187"/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44"/>
  <sheetViews>
    <sheetView tabSelected="1" workbookViewId="0">
      <pane xSplit="1" ySplit="8" topLeftCell="J9" activePane="bottomRight" state="frozen"/>
      <selection pane="topRight" activeCell="B1" sqref="B1"/>
      <selection pane="bottomLeft" activeCell="A8" sqref="A8"/>
      <selection pane="bottomRight" activeCell="A2" sqref="A2"/>
    </sheetView>
  </sheetViews>
  <sheetFormatPr defaultColWidth="9.140625" defaultRowHeight="15" x14ac:dyDescent="0.25"/>
  <cols>
    <col min="1" max="1" width="12.28515625" style="2" bestFit="1" customWidth="1"/>
    <col min="2" max="2" width="6.7109375" style="2" bestFit="1" customWidth="1"/>
    <col min="3" max="3" width="11.7109375" style="2" hidden="1" customWidth="1"/>
    <col min="4" max="4" width="26.85546875" style="2" customWidth="1"/>
    <col min="5" max="5" width="14.5703125" style="2" bestFit="1" customWidth="1"/>
    <col min="6" max="6" width="14.42578125" style="10" bestFit="1" customWidth="1"/>
    <col min="7" max="7" width="14.85546875" style="2" bestFit="1" customWidth="1"/>
    <col min="8" max="8" width="16.140625" style="2" bestFit="1" customWidth="1"/>
    <col min="9" max="9" width="23.140625" style="2" bestFit="1" customWidth="1"/>
    <col min="10" max="10" width="18.42578125" style="2" bestFit="1" customWidth="1"/>
    <col min="11" max="11" width="8.42578125" style="6" bestFit="1" customWidth="1"/>
    <col min="12" max="12" width="15.42578125" style="6" customWidth="1"/>
    <col min="13" max="13" width="15.85546875" style="7" bestFit="1" customWidth="1"/>
    <col min="14" max="14" width="28.140625" style="6" customWidth="1"/>
    <col min="15" max="15" width="14.5703125" style="6" bestFit="1" customWidth="1"/>
    <col min="16" max="16" width="6.140625" style="2" bestFit="1" customWidth="1"/>
    <col min="17" max="17" width="13.85546875" style="2" bestFit="1" customWidth="1"/>
    <col min="18" max="16384" width="9.140625" style="2"/>
  </cols>
  <sheetData>
    <row r="1" spans="1:26" ht="30" x14ac:dyDescent="0.25">
      <c r="A1" s="55" t="s">
        <v>0</v>
      </c>
      <c r="B1" s="55" t="s">
        <v>46</v>
      </c>
      <c r="C1" s="55" t="s">
        <v>1</v>
      </c>
      <c r="D1" s="56" t="str">
        <f>A1</f>
        <v>PLANT</v>
      </c>
      <c r="E1" s="56" t="s">
        <v>2</v>
      </c>
      <c r="F1" s="56" t="s">
        <v>3</v>
      </c>
      <c r="G1" s="56" t="s">
        <v>4</v>
      </c>
      <c r="H1" s="56" t="s">
        <v>5</v>
      </c>
      <c r="I1" s="57" t="s">
        <v>48</v>
      </c>
      <c r="J1" s="57" t="s">
        <v>6</v>
      </c>
      <c r="K1" s="34"/>
      <c r="L1" s="8" t="s">
        <v>136</v>
      </c>
      <c r="M1" s="39" t="s">
        <v>47</v>
      </c>
      <c r="N1" s="8" t="s">
        <v>137</v>
      </c>
      <c r="O1" s="8" t="s">
        <v>111</v>
      </c>
      <c r="Z1" s="2">
        <f>MATCH("GRAND TOTAL",A:A,0)</f>
        <v>32</v>
      </c>
    </row>
    <row r="2" spans="1:26" x14ac:dyDescent="0.25">
      <c r="A2" s="1">
        <v>1133</v>
      </c>
      <c r="B2" s="1">
        <v>16037</v>
      </c>
      <c r="C2" s="3">
        <v>42825</v>
      </c>
      <c r="D2" s="17" t="s">
        <v>8</v>
      </c>
      <c r="E2" s="48">
        <v>-8709.1200000000008</v>
      </c>
      <c r="F2" s="49">
        <v>738.4079999999999</v>
      </c>
      <c r="G2" s="50">
        <v>760.84619672105669</v>
      </c>
      <c r="H2" s="18">
        <f t="shared" ref="H2:H31" si="0">F2*G2</f>
        <v>561814.91842840193</v>
      </c>
      <c r="I2" s="13">
        <f>_xlfn.IFNA(VLOOKUP("TOTAL OS 1133",Working!C:H,2,FALSE),0)</f>
        <v>7287.84</v>
      </c>
      <c r="J2" s="53">
        <f t="shared" ref="J2:J31" si="1">E2+H2+I2</f>
        <v>560393.6384284019</v>
      </c>
      <c r="K2" s="103">
        <f t="shared" ref="K2:K31" si="2">J2/10^7</f>
        <v>5.6039363842840188E-2</v>
      </c>
      <c r="L2" s="91">
        <v>804.55531366973264</v>
      </c>
      <c r="M2" s="40">
        <f t="shared" ref="M2:M30" si="3">G2-L2</f>
        <v>-43.709116948675955</v>
      </c>
      <c r="N2" s="92">
        <v>688272.22440125782</v>
      </c>
      <c r="O2" s="103">
        <f t="shared" ref="O2:O30" si="4">J2-N2</f>
        <v>-127878.58597285592</v>
      </c>
      <c r="P2" s="104">
        <f>O2/10^7</f>
        <v>-1.2787858597285592E-2</v>
      </c>
      <c r="Z2" s="2">
        <f>MATCH("GRAND TOTAL",A:A,0)</f>
        <v>32</v>
      </c>
    </row>
    <row r="3" spans="1:26" x14ac:dyDescent="0.25">
      <c r="A3" s="1">
        <v>1258</v>
      </c>
      <c r="B3" s="1">
        <v>16023</v>
      </c>
      <c r="C3" s="3" t="s">
        <v>9</v>
      </c>
      <c r="D3" s="4" t="s">
        <v>10</v>
      </c>
      <c r="E3" s="48">
        <v>-77931.249999999971</v>
      </c>
      <c r="F3" s="49">
        <v>0</v>
      </c>
      <c r="G3" s="51">
        <v>0</v>
      </c>
      <c r="H3" s="18">
        <f t="shared" si="0"/>
        <v>0</v>
      </c>
      <c r="I3" s="13">
        <f>_xlfn.IFNA(VLOOKUP("TOTAL OS 1258",Working!C:H,2,FALSE),0)</f>
        <v>0</v>
      </c>
      <c r="J3" s="54">
        <f t="shared" si="1"/>
        <v>-77931.249999999971</v>
      </c>
      <c r="K3" s="103">
        <f t="shared" si="2"/>
        <v>-7.7931249999999971E-3</v>
      </c>
      <c r="L3" s="93">
        <v>0</v>
      </c>
      <c r="M3" s="40">
        <f t="shared" si="3"/>
        <v>0</v>
      </c>
      <c r="N3" s="94">
        <v>-77931.249999999971</v>
      </c>
      <c r="O3" s="103">
        <f t="shared" si="4"/>
        <v>0</v>
      </c>
      <c r="P3" s="104">
        <f t="shared" ref="P3:P31" si="5">O3/10^7</f>
        <v>0</v>
      </c>
    </row>
    <row r="4" spans="1:26" x14ac:dyDescent="0.25">
      <c r="A4" s="1">
        <v>1113</v>
      </c>
      <c r="B4" s="1">
        <v>16036</v>
      </c>
      <c r="C4" s="3">
        <v>43190</v>
      </c>
      <c r="D4" s="4" t="s">
        <v>21</v>
      </c>
      <c r="E4" s="48">
        <v>-187000.39999999997</v>
      </c>
      <c r="F4" s="49">
        <v>0</v>
      </c>
      <c r="G4" s="50">
        <v>0</v>
      </c>
      <c r="H4" s="18">
        <f t="shared" si="0"/>
        <v>0</v>
      </c>
      <c r="I4" s="13">
        <f>_xlfn.IFNA(VLOOKUP("TOTAL OS 1113",Working!C:H,2,FALSE),0)</f>
        <v>0</v>
      </c>
      <c r="J4" s="54">
        <f t="shared" si="1"/>
        <v>-187000.39999999997</v>
      </c>
      <c r="K4" s="103">
        <f t="shared" si="2"/>
        <v>-1.8700039999999998E-2</v>
      </c>
      <c r="L4" s="91">
        <v>993.64075887392903</v>
      </c>
      <c r="M4" s="40">
        <f t="shared" si="3"/>
        <v>-993.64075887392903</v>
      </c>
      <c r="N4" s="94">
        <v>-187000.39999999997</v>
      </c>
      <c r="O4" s="103">
        <f t="shared" si="4"/>
        <v>0</v>
      </c>
      <c r="P4" s="104">
        <f t="shared" si="5"/>
        <v>0</v>
      </c>
    </row>
    <row r="5" spans="1:26" x14ac:dyDescent="0.25">
      <c r="A5" s="1">
        <v>4328</v>
      </c>
      <c r="B5" s="1">
        <v>16640</v>
      </c>
      <c r="C5" s="3">
        <v>43555</v>
      </c>
      <c r="D5" s="17" t="s">
        <v>22</v>
      </c>
      <c r="E5" s="48">
        <v>-14689758.450000007</v>
      </c>
      <c r="F5" s="49">
        <v>286.25299999999999</v>
      </c>
      <c r="G5" s="50">
        <v>1468.5775788525389</v>
      </c>
      <c r="H5" s="18">
        <f t="shared" si="0"/>
        <v>420384.7376792758</v>
      </c>
      <c r="I5" s="13">
        <f>_xlfn.IFNA(VLOOKUP("TOTAL OS 4328",Working!C:H,2,FALSE),0)</f>
        <v>2915669.628</v>
      </c>
      <c r="J5" s="53">
        <f t="shared" si="1"/>
        <v>-11353704.08432073</v>
      </c>
      <c r="K5" s="103">
        <f t="shared" si="2"/>
        <v>-1.135370408432073</v>
      </c>
      <c r="L5" s="91">
        <v>1408.3964161535628</v>
      </c>
      <c r="M5" s="40">
        <f t="shared" si="3"/>
        <v>60.181162698976095</v>
      </c>
      <c r="N5" s="92">
        <v>-10514432.072961736</v>
      </c>
      <c r="O5" s="103">
        <f t="shared" si="4"/>
        <v>-839272.01135899313</v>
      </c>
      <c r="P5" s="104">
        <f t="shared" si="5"/>
        <v>-8.3927201135899313E-2</v>
      </c>
      <c r="Q5" s="104"/>
    </row>
    <row r="6" spans="1:26" x14ac:dyDescent="0.25">
      <c r="A6" s="1">
        <v>1111</v>
      </c>
      <c r="B6" s="1">
        <v>16037</v>
      </c>
      <c r="C6" s="3">
        <v>42825</v>
      </c>
      <c r="D6" s="17" t="s">
        <v>23</v>
      </c>
      <c r="E6" s="48">
        <v>-2472724.6300000059</v>
      </c>
      <c r="F6" s="49">
        <v>377.36400000000003</v>
      </c>
      <c r="G6" s="50">
        <v>650.22381990243969</v>
      </c>
      <c r="H6" s="18">
        <f t="shared" si="0"/>
        <v>245371.06157366428</v>
      </c>
      <c r="I6" s="13">
        <f>_xlfn.IFNA(VLOOKUP("TOTAL OS 1111",Working!C:H,2,FALSE),0)</f>
        <v>2566009.86</v>
      </c>
      <c r="J6" s="53">
        <f t="shared" si="1"/>
        <v>338656.29157365812</v>
      </c>
      <c r="K6" s="103">
        <f t="shared" si="2"/>
        <v>3.3865629157365809E-2</v>
      </c>
      <c r="L6" s="91">
        <v>661.81901092567898</v>
      </c>
      <c r="M6" s="40">
        <f t="shared" si="3"/>
        <v>-11.595191023239295</v>
      </c>
      <c r="N6" s="92">
        <v>-4597140.0984332077</v>
      </c>
      <c r="O6" s="103">
        <f t="shared" si="4"/>
        <v>4935796.3900068663</v>
      </c>
      <c r="P6" s="104">
        <f t="shared" si="5"/>
        <v>0.49357963900068663</v>
      </c>
    </row>
    <row r="7" spans="1:26" x14ac:dyDescent="0.25">
      <c r="A7" s="1">
        <v>1267</v>
      </c>
      <c r="B7" s="1">
        <v>16037</v>
      </c>
      <c r="C7" s="3">
        <v>43190</v>
      </c>
      <c r="D7" s="17" t="s">
        <v>14</v>
      </c>
      <c r="E7" s="48">
        <v>-5546.2400000000007</v>
      </c>
      <c r="F7" s="49">
        <v>0</v>
      </c>
      <c r="G7" s="50">
        <v>626.37387755102043</v>
      </c>
      <c r="H7" s="18">
        <f t="shared" si="0"/>
        <v>0</v>
      </c>
      <c r="I7" s="13">
        <f>_xlfn.IFNA(VLOOKUP("TOTAL OS 1267",Working!C:H,2,FALSE),0)</f>
        <v>0</v>
      </c>
      <c r="J7" s="53">
        <f t="shared" si="1"/>
        <v>-5546.2400000000007</v>
      </c>
      <c r="K7" s="103">
        <f t="shared" si="2"/>
        <v>-5.5462400000000009E-4</v>
      </c>
      <c r="L7" s="91">
        <v>0</v>
      </c>
      <c r="M7" s="40">
        <f t="shared" si="3"/>
        <v>626.37387755102043</v>
      </c>
      <c r="N7" s="92">
        <v>-5546.2400000000007</v>
      </c>
      <c r="O7" s="103">
        <f t="shared" si="4"/>
        <v>0</v>
      </c>
      <c r="P7" s="104">
        <f t="shared" si="5"/>
        <v>0</v>
      </c>
    </row>
    <row r="8" spans="1:26" x14ac:dyDescent="0.25">
      <c r="A8" s="1">
        <v>1135</v>
      </c>
      <c r="B8" s="1">
        <v>16036</v>
      </c>
      <c r="C8" s="3">
        <v>43190</v>
      </c>
      <c r="D8" s="4" t="s">
        <v>24</v>
      </c>
      <c r="E8" s="48">
        <v>-98773.040000000008</v>
      </c>
      <c r="F8" s="49">
        <v>0</v>
      </c>
      <c r="G8" s="50">
        <v>0</v>
      </c>
      <c r="H8" s="18">
        <f t="shared" si="0"/>
        <v>0</v>
      </c>
      <c r="I8" s="13">
        <f>_xlfn.IFNA(VLOOKUP("TOTAL OS 1135",Working!C:H,2,FALSE),0)</f>
        <v>0</v>
      </c>
      <c r="J8" s="54">
        <f t="shared" si="1"/>
        <v>-98773.040000000008</v>
      </c>
      <c r="K8" s="103">
        <f t="shared" si="2"/>
        <v>-9.8773040000000017E-3</v>
      </c>
      <c r="L8" s="91">
        <v>281.63379644977545</v>
      </c>
      <c r="M8" s="40">
        <f t="shared" si="3"/>
        <v>-281.63379644977545</v>
      </c>
      <c r="N8" s="94">
        <v>-98773.040000000008</v>
      </c>
      <c r="O8" s="103">
        <f t="shared" si="4"/>
        <v>0</v>
      </c>
      <c r="P8" s="104">
        <f t="shared" si="5"/>
        <v>0</v>
      </c>
    </row>
    <row r="9" spans="1:26" x14ac:dyDescent="0.25">
      <c r="A9" s="1">
        <v>1169</v>
      </c>
      <c r="B9" s="1">
        <v>16037</v>
      </c>
      <c r="C9" s="3" t="s">
        <v>7</v>
      </c>
      <c r="D9" s="17" t="s">
        <v>11</v>
      </c>
      <c r="E9" s="48">
        <v>-3456891.4599999888</v>
      </c>
      <c r="F9" s="49">
        <v>64.528000000000006</v>
      </c>
      <c r="G9" s="50">
        <v>725.48816365976393</v>
      </c>
      <c r="H9" s="18">
        <f t="shared" si="0"/>
        <v>46814.300224637249</v>
      </c>
      <c r="I9" s="13">
        <f>_xlfn.IFNA(VLOOKUP("TOTAL OS 1169",Working!C:H,2,FALSE),0)</f>
        <v>3380672.872</v>
      </c>
      <c r="J9" s="53">
        <f t="shared" si="1"/>
        <v>-29404.287775351666</v>
      </c>
      <c r="K9" s="103">
        <f t="shared" si="2"/>
        <v>-2.9404287775351666E-3</v>
      </c>
      <c r="L9" s="91">
        <v>733.71536349207361</v>
      </c>
      <c r="M9" s="40">
        <f t="shared" si="3"/>
        <v>-8.2271998323096796</v>
      </c>
      <c r="N9" s="92">
        <v>-238084.72252507228</v>
      </c>
      <c r="O9" s="103">
        <f t="shared" si="4"/>
        <v>208680.43474972062</v>
      </c>
      <c r="P9" s="104">
        <f t="shared" si="5"/>
        <v>2.0868043474972061E-2</v>
      </c>
    </row>
    <row r="10" spans="1:26" x14ac:dyDescent="0.25">
      <c r="A10" s="1">
        <v>2248</v>
      </c>
      <c r="B10" s="1">
        <v>16560</v>
      </c>
      <c r="C10" s="3" t="s">
        <v>31</v>
      </c>
      <c r="D10" s="4" t="s">
        <v>32</v>
      </c>
      <c r="E10" s="48">
        <v>-3163162.1799999978</v>
      </c>
      <c r="F10" s="49">
        <v>472.32499999999999</v>
      </c>
      <c r="G10" s="50">
        <v>1139.3858624671379</v>
      </c>
      <c r="H10" s="18">
        <f t="shared" si="0"/>
        <v>538160.42748979095</v>
      </c>
      <c r="I10" s="13">
        <f>_xlfn.IFNA(VLOOKUP("TOTAL OS 2248",Working!C:H,2,FALSE),0)</f>
        <v>1516794.977</v>
      </c>
      <c r="J10" s="54">
        <f t="shared" si="1"/>
        <v>-1108206.7755102068</v>
      </c>
      <c r="K10" s="103">
        <f t="shared" si="2"/>
        <v>-0.11082067755102068</v>
      </c>
      <c r="L10" s="91">
        <v>1142.8560368251919</v>
      </c>
      <c r="M10" s="40">
        <f t="shared" si="3"/>
        <v>-3.4701743580540096</v>
      </c>
      <c r="N10" s="94">
        <v>-1232503.7987845179</v>
      </c>
      <c r="O10" s="103">
        <f t="shared" si="4"/>
        <v>124297.0232743111</v>
      </c>
      <c r="P10" s="104">
        <f t="shared" si="5"/>
        <v>1.2429702327431109E-2</v>
      </c>
      <c r="Q10" s="11"/>
    </row>
    <row r="11" spans="1:26" x14ac:dyDescent="0.25">
      <c r="A11" s="1">
        <v>3119</v>
      </c>
      <c r="B11" s="1">
        <v>16420</v>
      </c>
      <c r="C11" s="3">
        <v>42825</v>
      </c>
      <c r="D11" s="4" t="s">
        <v>29</v>
      </c>
      <c r="E11" s="48">
        <v>-10283.900000000001</v>
      </c>
      <c r="F11" s="49">
        <v>0</v>
      </c>
      <c r="G11" s="50">
        <v>2292.1722974134432</v>
      </c>
      <c r="H11" s="18">
        <f t="shared" si="0"/>
        <v>0</v>
      </c>
      <c r="I11" s="13">
        <f>_xlfn.IFNA(VLOOKUP("TOTAL OS 3119",Working!C:H,2,FALSE),0)</f>
        <v>0</v>
      </c>
      <c r="J11" s="54">
        <f t="shared" si="1"/>
        <v>-10283.900000000001</v>
      </c>
      <c r="K11" s="103">
        <f t="shared" si="2"/>
        <v>-1.0283900000000001E-3</v>
      </c>
      <c r="L11" s="91">
        <v>2220.2307214498301</v>
      </c>
      <c r="M11" s="40">
        <f t="shared" si="3"/>
        <v>71.941575963613104</v>
      </c>
      <c r="N11" s="94">
        <v>-10283.900000000001</v>
      </c>
      <c r="O11" s="103">
        <f t="shared" si="4"/>
        <v>0</v>
      </c>
      <c r="P11" s="104">
        <f t="shared" si="5"/>
        <v>0</v>
      </c>
      <c r="Q11" s="11"/>
    </row>
    <row r="12" spans="1:26" x14ac:dyDescent="0.25">
      <c r="A12" s="1">
        <v>2242</v>
      </c>
      <c r="B12" s="1">
        <v>16560</v>
      </c>
      <c r="C12" s="3" t="s">
        <v>9</v>
      </c>
      <c r="D12" s="4" t="s">
        <v>30</v>
      </c>
      <c r="E12" s="48">
        <v>0</v>
      </c>
      <c r="F12" s="49">
        <v>0</v>
      </c>
      <c r="G12" s="50">
        <v>1866.9370417695184</v>
      </c>
      <c r="H12" s="18">
        <f t="shared" si="0"/>
        <v>0</v>
      </c>
      <c r="I12" s="13">
        <f>_xlfn.IFNA(VLOOKUP("TOTAL OS 2242",Working!C:H,2,FALSE),0)</f>
        <v>0</v>
      </c>
      <c r="J12" s="54">
        <f t="shared" si="1"/>
        <v>0</v>
      </c>
      <c r="K12" s="103">
        <f t="shared" si="2"/>
        <v>0</v>
      </c>
      <c r="L12" s="91">
        <v>2032.739929186476</v>
      </c>
      <c r="M12" s="40">
        <f t="shared" si="3"/>
        <v>-165.80288741695767</v>
      </c>
      <c r="N12" s="94">
        <v>254.09249114830951</v>
      </c>
      <c r="O12" s="103">
        <f t="shared" si="4"/>
        <v>-254.09249114830951</v>
      </c>
      <c r="P12" s="104">
        <f t="shared" si="5"/>
        <v>-2.540924911483095E-5</v>
      </c>
    </row>
    <row r="13" spans="1:26" x14ac:dyDescent="0.25">
      <c r="A13" s="1">
        <v>2223</v>
      </c>
      <c r="B13" s="1">
        <v>16560</v>
      </c>
      <c r="C13" s="3">
        <v>43220</v>
      </c>
      <c r="D13" s="4" t="s">
        <v>28</v>
      </c>
      <c r="E13" s="48">
        <v>0</v>
      </c>
      <c r="F13" s="49">
        <v>0</v>
      </c>
      <c r="G13" s="50">
        <v>0</v>
      </c>
      <c r="H13" s="18">
        <f t="shared" si="0"/>
        <v>0</v>
      </c>
      <c r="I13" s="13">
        <f>_xlfn.IFNA(VLOOKUP("TOTAL OS 2223",Working!C:H,2,FALSE),0)</f>
        <v>0</v>
      </c>
      <c r="J13" s="54">
        <f t="shared" si="1"/>
        <v>0</v>
      </c>
      <c r="K13" s="103">
        <f t="shared" si="2"/>
        <v>0</v>
      </c>
      <c r="L13" s="91">
        <v>0</v>
      </c>
      <c r="M13" s="40">
        <f t="shared" si="3"/>
        <v>0</v>
      </c>
      <c r="N13" s="94">
        <v>0</v>
      </c>
      <c r="O13" s="103">
        <f t="shared" si="4"/>
        <v>0</v>
      </c>
      <c r="P13" s="104">
        <f t="shared" si="5"/>
        <v>0</v>
      </c>
      <c r="Q13" s="11"/>
    </row>
    <row r="14" spans="1:26" x14ac:dyDescent="0.25">
      <c r="A14" s="1">
        <v>1121</v>
      </c>
      <c r="B14" s="1">
        <v>16145</v>
      </c>
      <c r="C14" s="3">
        <v>42825</v>
      </c>
      <c r="D14" s="17" t="s">
        <v>34</v>
      </c>
      <c r="E14" s="48">
        <v>0</v>
      </c>
      <c r="F14" s="49">
        <v>0</v>
      </c>
      <c r="G14" s="50">
        <v>1946.2557119164342</v>
      </c>
      <c r="H14" s="18">
        <f t="shared" si="0"/>
        <v>0</v>
      </c>
      <c r="I14" s="13">
        <f>_xlfn.IFNA(VLOOKUP("TOTAL OS 1121",Working!C:H,2,FALSE),0)</f>
        <v>0</v>
      </c>
      <c r="J14" s="53">
        <f t="shared" si="1"/>
        <v>0</v>
      </c>
      <c r="K14" s="103">
        <f t="shared" si="2"/>
        <v>0</v>
      </c>
      <c r="L14" s="91">
        <v>1896.0213427055992</v>
      </c>
      <c r="M14" s="40">
        <f t="shared" si="3"/>
        <v>50.234369210834984</v>
      </c>
      <c r="N14" s="92">
        <v>2775.6190000000001</v>
      </c>
      <c r="O14" s="103">
        <f t="shared" si="4"/>
        <v>-2775.6190000000001</v>
      </c>
      <c r="P14" s="104">
        <f t="shared" si="5"/>
        <v>-2.7756189999999999E-4</v>
      </c>
    </row>
    <row r="15" spans="1:26" x14ac:dyDescent="0.25">
      <c r="A15" s="1">
        <v>1179</v>
      </c>
      <c r="B15" s="1">
        <v>16145</v>
      </c>
      <c r="C15" s="3">
        <v>42825</v>
      </c>
      <c r="D15" s="17" t="s">
        <v>39</v>
      </c>
      <c r="E15" s="48">
        <v>0</v>
      </c>
      <c r="F15" s="49">
        <v>0</v>
      </c>
      <c r="G15" s="50">
        <v>1205.565876847757</v>
      </c>
      <c r="H15" s="18">
        <f t="shared" si="0"/>
        <v>0</v>
      </c>
      <c r="I15" s="13">
        <f>_xlfn.IFNA(VLOOKUP("TOTAL OS 1179",Working!C:H,2,FALSE),0)</f>
        <v>0</v>
      </c>
      <c r="J15" s="53">
        <f t="shared" si="1"/>
        <v>0</v>
      </c>
      <c r="K15" s="103">
        <f t="shared" si="2"/>
        <v>0</v>
      </c>
      <c r="L15" s="91">
        <v>1374.6781409519738</v>
      </c>
      <c r="M15" s="40">
        <f t="shared" si="3"/>
        <v>-169.11226410421682</v>
      </c>
      <c r="N15" s="92">
        <v>0</v>
      </c>
      <c r="O15" s="103">
        <f t="shared" si="4"/>
        <v>0</v>
      </c>
      <c r="P15" s="104">
        <f t="shared" si="5"/>
        <v>0</v>
      </c>
    </row>
    <row r="16" spans="1:26" x14ac:dyDescent="0.25">
      <c r="A16" s="1">
        <v>1174</v>
      </c>
      <c r="B16" s="1">
        <v>16037</v>
      </c>
      <c r="C16" s="3" t="s">
        <v>37</v>
      </c>
      <c r="D16" s="17" t="s">
        <v>38</v>
      </c>
      <c r="E16" s="48">
        <v>-4408.1900000000005</v>
      </c>
      <c r="F16" s="49">
        <v>11.453999999999999</v>
      </c>
      <c r="G16" s="50">
        <v>710</v>
      </c>
      <c r="H16" s="18">
        <f t="shared" si="0"/>
        <v>8132.3399999999992</v>
      </c>
      <c r="I16" s="13">
        <f>_xlfn.IFNA(VLOOKUP("TOTAL OS 1174",Working!C:H,2,FALSE),0)</f>
        <v>0</v>
      </c>
      <c r="J16" s="53">
        <f t="shared" si="1"/>
        <v>3724.1499999999987</v>
      </c>
      <c r="K16" s="103">
        <f t="shared" si="2"/>
        <v>3.7241499999999986E-4</v>
      </c>
      <c r="L16" s="91">
        <v>708.24008076521727</v>
      </c>
      <c r="M16" s="40">
        <f t="shared" si="3"/>
        <v>1.7599192347827284</v>
      </c>
      <c r="N16" s="92">
        <v>4269.1674695354413</v>
      </c>
      <c r="O16" s="103">
        <f t="shared" si="4"/>
        <v>-545.01746953544261</v>
      </c>
      <c r="P16" s="104">
        <f t="shared" si="5"/>
        <v>-5.4501746953544263E-5</v>
      </c>
    </row>
    <row r="17" spans="1:17" x14ac:dyDescent="0.25">
      <c r="A17" s="1">
        <v>3151</v>
      </c>
      <c r="B17" s="1">
        <v>16045</v>
      </c>
      <c r="C17" s="3" t="s">
        <v>35</v>
      </c>
      <c r="D17" s="17" t="s">
        <v>36</v>
      </c>
      <c r="E17" s="48">
        <v>0</v>
      </c>
      <c r="F17" s="49">
        <v>0</v>
      </c>
      <c r="G17" s="50">
        <v>1987.0310229723591</v>
      </c>
      <c r="H17" s="18">
        <f t="shared" si="0"/>
        <v>0</v>
      </c>
      <c r="I17" s="13">
        <f>_xlfn.IFNA(VLOOKUP("TOTAL OS 3151",Working!C:H,2,FALSE),0)</f>
        <v>0</v>
      </c>
      <c r="J17" s="53">
        <f t="shared" si="1"/>
        <v>0</v>
      </c>
      <c r="K17" s="103">
        <f t="shared" si="2"/>
        <v>0</v>
      </c>
      <c r="L17" s="91">
        <v>1911.033355192543</v>
      </c>
      <c r="M17" s="40">
        <f t="shared" si="3"/>
        <v>75.997667779816084</v>
      </c>
      <c r="N17" s="92">
        <v>0</v>
      </c>
      <c r="O17" s="103">
        <f t="shared" si="4"/>
        <v>0</v>
      </c>
      <c r="P17" s="104">
        <f t="shared" si="5"/>
        <v>0</v>
      </c>
    </row>
    <row r="18" spans="1:17" x14ac:dyDescent="0.25">
      <c r="A18" s="1">
        <v>3131</v>
      </c>
      <c r="B18" s="1">
        <v>16045</v>
      </c>
      <c r="C18" s="3">
        <v>42521</v>
      </c>
      <c r="D18" s="17" t="s">
        <v>33</v>
      </c>
      <c r="E18" s="48">
        <v>-752556.14</v>
      </c>
      <c r="F18" s="49">
        <v>24.117999999999999</v>
      </c>
      <c r="G18" s="50">
        <v>1560.2818974905131</v>
      </c>
      <c r="H18" s="18">
        <f t="shared" si="0"/>
        <v>37630.878803676191</v>
      </c>
      <c r="I18" s="13">
        <f>_xlfn.IFNA(VLOOKUP("TOTAL OS 3131",Working!C:H,2,FALSE),0)</f>
        <v>546520.72600000002</v>
      </c>
      <c r="J18" s="53">
        <f t="shared" si="1"/>
        <v>-168404.53519632376</v>
      </c>
      <c r="K18" s="103">
        <f t="shared" si="2"/>
        <v>-1.6840453519632377E-2</v>
      </c>
      <c r="L18" s="91">
        <v>1593.2557023809129</v>
      </c>
      <c r="M18" s="40">
        <f t="shared" si="3"/>
        <v>-32.973804890399833</v>
      </c>
      <c r="N18" s="92">
        <v>-181720.11350586981</v>
      </c>
      <c r="O18" s="103">
        <f t="shared" si="4"/>
        <v>13315.57830954605</v>
      </c>
      <c r="P18" s="104">
        <f t="shared" si="5"/>
        <v>1.331557830954605E-3</v>
      </c>
    </row>
    <row r="19" spans="1:17" x14ac:dyDescent="0.25">
      <c r="A19" s="1">
        <v>2218</v>
      </c>
      <c r="B19" s="1">
        <v>16385</v>
      </c>
      <c r="C19" s="3" t="s">
        <v>26</v>
      </c>
      <c r="D19" s="17" t="s">
        <v>27</v>
      </c>
      <c r="E19" s="48">
        <v>0</v>
      </c>
      <c r="F19" s="49">
        <v>0</v>
      </c>
      <c r="G19" s="50">
        <v>1566.5543704953509</v>
      </c>
      <c r="H19" s="18">
        <f t="shared" si="0"/>
        <v>0</v>
      </c>
      <c r="I19" s="13">
        <f>_xlfn.IFNA(VLOOKUP("TOTAL OS 2218",Working!C:H,2,FALSE),0)</f>
        <v>0</v>
      </c>
      <c r="J19" s="53">
        <f t="shared" si="1"/>
        <v>0</v>
      </c>
      <c r="K19" s="103">
        <f t="shared" si="2"/>
        <v>0</v>
      </c>
      <c r="L19" s="91">
        <v>1673.4420407817072</v>
      </c>
      <c r="M19" s="40">
        <f t="shared" si="3"/>
        <v>-106.8876702863563</v>
      </c>
      <c r="N19" s="92">
        <v>0</v>
      </c>
      <c r="O19" s="103">
        <f t="shared" si="4"/>
        <v>0</v>
      </c>
      <c r="P19" s="104">
        <f t="shared" si="5"/>
        <v>0</v>
      </c>
    </row>
    <row r="20" spans="1:17" x14ac:dyDescent="0.25">
      <c r="A20" s="1">
        <v>3155</v>
      </c>
      <c r="B20" s="1">
        <v>16045</v>
      </c>
      <c r="C20" s="3">
        <v>0</v>
      </c>
      <c r="D20" s="17" t="s">
        <v>25</v>
      </c>
      <c r="E20" s="48">
        <v>-10085530.489999978</v>
      </c>
      <c r="F20" s="49">
        <v>412.96</v>
      </c>
      <c r="G20" s="50">
        <v>2635.51</v>
      </c>
      <c r="H20" s="18">
        <f t="shared" si="0"/>
        <v>1088360.2095999999</v>
      </c>
      <c r="I20" s="13">
        <f>_xlfn.IFNA(VLOOKUP("TOTAL OS 3155",Working!C:H,2,FALSE),0)</f>
        <v>10338115.716000004</v>
      </c>
      <c r="J20" s="53">
        <f t="shared" si="1"/>
        <v>1340945.4356000256</v>
      </c>
      <c r="K20" s="103">
        <f t="shared" si="2"/>
        <v>0.13409454356000255</v>
      </c>
      <c r="L20" s="91">
        <v>2694.5147767390317</v>
      </c>
      <c r="M20" s="40">
        <f t="shared" si="3"/>
        <v>-59.004776739031513</v>
      </c>
      <c r="N20" s="92">
        <v>1298927.6314044856</v>
      </c>
      <c r="O20" s="103">
        <f t="shared" si="4"/>
        <v>42017.804195540026</v>
      </c>
      <c r="P20" s="104">
        <f t="shared" si="5"/>
        <v>4.2017804195540022E-3</v>
      </c>
    </row>
    <row r="21" spans="1:17" x14ac:dyDescent="0.25">
      <c r="A21" s="1">
        <v>3148</v>
      </c>
      <c r="B21" s="1">
        <v>16595</v>
      </c>
      <c r="C21" s="3" t="s">
        <v>12</v>
      </c>
      <c r="D21" s="4" t="s">
        <v>13</v>
      </c>
      <c r="E21" s="48">
        <v>-1153593.8400000019</v>
      </c>
      <c r="F21" s="49">
        <v>76.971000000000004</v>
      </c>
      <c r="G21" s="50">
        <v>1605.7021407480313</v>
      </c>
      <c r="H21" s="18">
        <f t="shared" si="0"/>
        <v>123592.49947551673</v>
      </c>
      <c r="I21" s="13">
        <f>_xlfn.IFNA(VLOOKUP("TOTAL OS 3148",Working!C:H,2,FALSE),0)</f>
        <v>501971.30000000005</v>
      </c>
      <c r="J21" s="54">
        <f t="shared" si="1"/>
        <v>-528030.04052448517</v>
      </c>
      <c r="K21" s="103">
        <f t="shared" si="2"/>
        <v>-5.2803004052448518E-2</v>
      </c>
      <c r="L21" s="91">
        <v>1787.8013539869783</v>
      </c>
      <c r="M21" s="40">
        <f t="shared" si="3"/>
        <v>-182.09921323894696</v>
      </c>
      <c r="N21" s="94">
        <v>-9689.8617482848931</v>
      </c>
      <c r="O21" s="103">
        <f t="shared" si="4"/>
        <v>-518340.17877620028</v>
      </c>
      <c r="P21" s="104">
        <f t="shared" si="5"/>
        <v>-5.1834017877620028E-2</v>
      </c>
    </row>
    <row r="22" spans="1:17" x14ac:dyDescent="0.25">
      <c r="A22" s="1">
        <v>3112</v>
      </c>
      <c r="B22" s="1">
        <v>16021</v>
      </c>
      <c r="C22" s="3">
        <v>43131</v>
      </c>
      <c r="D22" s="4" t="s">
        <v>41</v>
      </c>
      <c r="E22" s="48">
        <v>-3387026.2100000018</v>
      </c>
      <c r="F22" s="49">
        <v>122.88000000000001</v>
      </c>
      <c r="G22" s="50">
        <v>1150.0160242737084</v>
      </c>
      <c r="H22" s="18">
        <f t="shared" si="0"/>
        <v>141313.96906275328</v>
      </c>
      <c r="I22" s="13">
        <f>_xlfn.IFNA(VLOOKUP("TOTAL OS 3112",Working!C:H,2,FALSE),0)</f>
        <v>3040974.81</v>
      </c>
      <c r="J22" s="54">
        <f t="shared" si="1"/>
        <v>-204737.43093724828</v>
      </c>
      <c r="K22" s="103">
        <f t="shared" si="2"/>
        <v>-2.0473743093724829E-2</v>
      </c>
      <c r="L22" s="91">
        <v>1274.87211456826</v>
      </c>
      <c r="M22" s="40">
        <f t="shared" si="3"/>
        <v>-124.85609029455168</v>
      </c>
      <c r="N22" s="94">
        <v>49237.640997318551</v>
      </c>
      <c r="O22" s="103">
        <f t="shared" si="4"/>
        <v>-253975.07193456683</v>
      </c>
      <c r="P22" s="104">
        <f t="shared" si="5"/>
        <v>-2.5397507193456684E-2</v>
      </c>
    </row>
    <row r="23" spans="1:17" x14ac:dyDescent="0.25">
      <c r="A23" s="1">
        <v>3154</v>
      </c>
      <c r="B23" s="1">
        <v>16021</v>
      </c>
      <c r="C23" s="3">
        <v>43131</v>
      </c>
      <c r="D23" s="4" t="s">
        <v>45</v>
      </c>
      <c r="E23" s="48">
        <v>-143897.06999999998</v>
      </c>
      <c r="F23" s="49">
        <v>3.3260000000000001</v>
      </c>
      <c r="G23" s="50">
        <v>3020</v>
      </c>
      <c r="H23" s="18">
        <f t="shared" si="0"/>
        <v>10044.52</v>
      </c>
      <c r="I23" s="13">
        <f>_xlfn.IFNA(VLOOKUP("TOTAL OS 3154",Working!C:H,2,FALSE),0)</f>
        <v>69296.92</v>
      </c>
      <c r="J23" s="54">
        <f t="shared" si="1"/>
        <v>-64555.62999999999</v>
      </c>
      <c r="K23" s="103">
        <f t="shared" si="2"/>
        <v>-6.4555629999999992E-3</v>
      </c>
      <c r="L23" s="91">
        <v>3019.9999999999995</v>
      </c>
      <c r="M23" s="40">
        <f t="shared" si="3"/>
        <v>0</v>
      </c>
      <c r="N23" s="94">
        <v>-65970.489999999976</v>
      </c>
      <c r="O23" s="103">
        <f t="shared" si="4"/>
        <v>1414.859999999986</v>
      </c>
      <c r="P23" s="104">
        <f t="shared" si="5"/>
        <v>1.4148599999999861E-4</v>
      </c>
    </row>
    <row r="24" spans="1:17" x14ac:dyDescent="0.25">
      <c r="A24" s="1">
        <v>1228</v>
      </c>
      <c r="B24" s="1">
        <v>16023</v>
      </c>
      <c r="C24" s="3" t="s">
        <v>12</v>
      </c>
      <c r="D24" s="4" t="s">
        <v>40</v>
      </c>
      <c r="E24" s="48">
        <v>0</v>
      </c>
      <c r="F24" s="49">
        <v>0</v>
      </c>
      <c r="G24" s="50">
        <v>3024.9873779829868</v>
      </c>
      <c r="H24" s="18">
        <f t="shared" si="0"/>
        <v>0</v>
      </c>
      <c r="I24" s="13">
        <f>_xlfn.IFNA(VLOOKUP("TOTAL OS 1228",Working!C:H,2,FALSE),0)</f>
        <v>0</v>
      </c>
      <c r="J24" s="54">
        <f t="shared" si="1"/>
        <v>0</v>
      </c>
      <c r="K24" s="103">
        <f t="shared" si="2"/>
        <v>0</v>
      </c>
      <c r="L24" s="91">
        <v>0</v>
      </c>
      <c r="M24" s="40">
        <f t="shared" si="3"/>
        <v>3024.9873779829868</v>
      </c>
      <c r="N24" s="94">
        <v>0</v>
      </c>
      <c r="O24" s="103">
        <f t="shared" si="4"/>
        <v>0</v>
      </c>
      <c r="P24" s="104">
        <f t="shared" si="5"/>
        <v>0</v>
      </c>
    </row>
    <row r="25" spans="1:17" x14ac:dyDescent="0.25">
      <c r="A25" s="1">
        <v>1163</v>
      </c>
      <c r="B25" s="1">
        <v>16410</v>
      </c>
      <c r="C25" s="3">
        <v>43190</v>
      </c>
      <c r="D25" s="4" t="s">
        <v>44</v>
      </c>
      <c r="E25" s="48">
        <v>-1271926.49</v>
      </c>
      <c r="F25" s="49">
        <v>18.114999999999998</v>
      </c>
      <c r="G25" s="50">
        <v>1423.0183767889962</v>
      </c>
      <c r="H25" s="18">
        <f t="shared" si="0"/>
        <v>25777.977895532666</v>
      </c>
      <c r="I25" s="13">
        <f>_xlfn.IFNA(VLOOKUP("TOTAL OS 1163",Working!C:H,2,FALSE),0)</f>
        <v>798705.53999999992</v>
      </c>
      <c r="J25" s="54">
        <f t="shared" si="1"/>
        <v>-447442.97210446734</v>
      </c>
      <c r="K25" s="103">
        <f t="shared" si="2"/>
        <v>-4.4744297210446732E-2</v>
      </c>
      <c r="L25" s="91">
        <v>1415.3998948282267</v>
      </c>
      <c r="M25" s="40">
        <f t="shared" si="3"/>
        <v>7.6184819607694862</v>
      </c>
      <c r="N25" s="94">
        <v>-1183480.6700000009</v>
      </c>
      <c r="O25" s="103">
        <f t="shared" si="4"/>
        <v>736037.69789553352</v>
      </c>
      <c r="P25" s="104">
        <f t="shared" si="5"/>
        <v>7.3603769789553353E-2</v>
      </c>
    </row>
    <row r="26" spans="1:17" x14ac:dyDescent="0.25">
      <c r="A26" s="1">
        <v>1164</v>
      </c>
      <c r="B26" s="1">
        <v>16036</v>
      </c>
      <c r="C26" s="3">
        <v>42825</v>
      </c>
      <c r="D26" s="4" t="s">
        <v>52</v>
      </c>
      <c r="E26" s="48">
        <v>-2850988.0400000014</v>
      </c>
      <c r="F26" s="49">
        <v>0.09</v>
      </c>
      <c r="G26" s="50">
        <v>1049.0070650967573</v>
      </c>
      <c r="H26" s="18">
        <f t="shared" si="0"/>
        <v>94.410635858708147</v>
      </c>
      <c r="I26" s="13">
        <f>_xlfn.IFNA(VLOOKUP("TOTAL OS 1164",Working!C:H,2,FALSE),0)</f>
        <v>4313750.01</v>
      </c>
      <c r="J26" s="54">
        <f t="shared" si="1"/>
        <v>1462856.3806358571</v>
      </c>
      <c r="K26" s="103">
        <f t="shared" si="2"/>
        <v>0.14628563806358572</v>
      </c>
      <c r="L26" s="91">
        <v>1101.1160663070266</v>
      </c>
      <c r="M26" s="40">
        <f t="shared" si="3"/>
        <v>-52.109001210269298</v>
      </c>
      <c r="N26" s="94">
        <v>1646603.0099999979</v>
      </c>
      <c r="O26" s="103">
        <f t="shared" si="4"/>
        <v>-183746.6293641408</v>
      </c>
      <c r="P26" s="104">
        <f t="shared" si="5"/>
        <v>-1.8374662936414078E-2</v>
      </c>
    </row>
    <row r="27" spans="1:17" x14ac:dyDescent="0.25">
      <c r="A27" s="1">
        <v>1309</v>
      </c>
      <c r="B27" s="1" t="s">
        <v>50</v>
      </c>
      <c r="C27" s="3"/>
      <c r="D27" s="4" t="s">
        <v>51</v>
      </c>
      <c r="E27" s="48">
        <v>-5971205.8399999756</v>
      </c>
      <c r="F27" s="49">
        <v>19.48</v>
      </c>
      <c r="G27" s="50">
        <v>973</v>
      </c>
      <c r="H27" s="18">
        <f t="shared" si="0"/>
        <v>18954.04</v>
      </c>
      <c r="I27" s="13">
        <f>_xlfn.IFNA(VLOOKUP("TOTAL OS 1309",Working!C:H,2,FALSE),0)</f>
        <v>915143.05999999994</v>
      </c>
      <c r="J27" s="54">
        <f t="shared" si="1"/>
        <v>-5037108.739999976</v>
      </c>
      <c r="K27" s="103">
        <f t="shared" si="2"/>
        <v>-0.50371087399999759</v>
      </c>
      <c r="L27" s="91">
        <v>973</v>
      </c>
      <c r="M27" s="40">
        <f t="shared" si="3"/>
        <v>0</v>
      </c>
      <c r="N27" s="94">
        <v>-4928543.9299999699</v>
      </c>
      <c r="O27" s="103">
        <f t="shared" si="4"/>
        <v>-108564.81000000611</v>
      </c>
      <c r="P27" s="104">
        <f t="shared" si="5"/>
        <v>-1.0856481000000612E-2</v>
      </c>
    </row>
    <row r="28" spans="1:17" x14ac:dyDescent="0.25">
      <c r="A28" s="1">
        <v>2025</v>
      </c>
      <c r="B28" s="1">
        <v>17191</v>
      </c>
      <c r="C28" s="3"/>
      <c r="D28" s="4" t="s">
        <v>49</v>
      </c>
      <c r="E28" s="48">
        <v>-539611.60000000009</v>
      </c>
      <c r="F28" s="49">
        <v>2.7639999999999998</v>
      </c>
      <c r="G28" s="51">
        <v>1349.4515907873752</v>
      </c>
      <c r="H28" s="18">
        <f t="shared" si="0"/>
        <v>3729.8841969363048</v>
      </c>
      <c r="I28" s="13">
        <f>_xlfn.IFNA(VLOOKUP("TOTAL OS 2025",Working!C:H,2,FALSE),0)</f>
        <v>625458.9</v>
      </c>
      <c r="J28" s="54">
        <f t="shared" si="1"/>
        <v>89577.184196936199</v>
      </c>
      <c r="K28" s="103">
        <f t="shared" si="2"/>
        <v>8.9577184196936201E-3</v>
      </c>
      <c r="L28" s="93">
        <v>1371.7946798626299</v>
      </c>
      <c r="M28" s="40">
        <f t="shared" si="3"/>
        <v>-22.343089075254738</v>
      </c>
      <c r="N28" s="94">
        <v>56613.709794429422</v>
      </c>
      <c r="O28" s="103">
        <f t="shared" si="4"/>
        <v>32963.474402506778</v>
      </c>
      <c r="P28" s="104">
        <f t="shared" si="5"/>
        <v>3.2963474402506777E-3</v>
      </c>
    </row>
    <row r="29" spans="1:17" x14ac:dyDescent="0.25">
      <c r="A29" s="1">
        <v>1295</v>
      </c>
      <c r="B29" s="1">
        <v>16312</v>
      </c>
      <c r="C29" s="19"/>
      <c r="D29" s="4" t="s">
        <v>107</v>
      </c>
      <c r="E29" s="48">
        <v>0</v>
      </c>
      <c r="F29" s="49">
        <v>0</v>
      </c>
      <c r="G29" s="51">
        <v>715.24842105898585</v>
      </c>
      <c r="H29" s="18">
        <f t="shared" si="0"/>
        <v>0</v>
      </c>
      <c r="I29" s="13">
        <f>_xlfn.IFNA(VLOOKUP("TOTAL OS 1295",Working!C:H,2,FALSE),0)</f>
        <v>0</v>
      </c>
      <c r="J29" s="54">
        <f t="shared" si="1"/>
        <v>0</v>
      </c>
      <c r="K29" s="103">
        <f t="shared" si="2"/>
        <v>0</v>
      </c>
      <c r="L29" s="93">
        <v>712.19432995414581</v>
      </c>
      <c r="M29" s="40">
        <f t="shared" si="3"/>
        <v>3.0540911048400403</v>
      </c>
      <c r="N29" s="94">
        <v>0</v>
      </c>
      <c r="O29" s="103">
        <f t="shared" si="4"/>
        <v>0</v>
      </c>
      <c r="P29" s="104">
        <f t="shared" si="5"/>
        <v>0</v>
      </c>
    </row>
    <row r="30" spans="1:17" x14ac:dyDescent="0.25">
      <c r="A30" s="1">
        <v>119</v>
      </c>
      <c r="B30" s="1">
        <v>17035</v>
      </c>
      <c r="C30" s="19"/>
      <c r="D30" s="17" t="s">
        <v>119</v>
      </c>
      <c r="E30" s="48">
        <v>-169943328.59000024</v>
      </c>
      <c r="F30" s="52">
        <v>2465.741</v>
      </c>
      <c r="G30" s="51">
        <v>814</v>
      </c>
      <c r="H30" s="18">
        <f t="shared" si="0"/>
        <v>2007113.1739999999</v>
      </c>
      <c r="I30" s="13">
        <f>_xlfn.IFNA(VLOOKUP("TOTAL OS 119",[1]Working!C:H,2,FALSE),0)</f>
        <v>42041307.860796265</v>
      </c>
      <c r="J30" s="54">
        <f t="shared" si="1"/>
        <v>-125894907.55520397</v>
      </c>
      <c r="K30" s="103">
        <f t="shared" si="2"/>
        <v>-12.589490755520398</v>
      </c>
      <c r="L30" s="93">
        <v>924</v>
      </c>
      <c r="M30" s="40">
        <f t="shared" si="3"/>
        <v>-110</v>
      </c>
      <c r="N30" s="94">
        <v>-57591199.179203682</v>
      </c>
      <c r="O30" s="103">
        <f t="shared" si="4"/>
        <v>-68303708.376000285</v>
      </c>
      <c r="P30" s="104">
        <f t="shared" si="5"/>
        <v>-6.8303708376000287</v>
      </c>
      <c r="Q30" s="15"/>
    </row>
    <row r="31" spans="1:17" x14ac:dyDescent="0.25">
      <c r="A31" s="1">
        <v>2286</v>
      </c>
      <c r="B31" s="1">
        <v>16695</v>
      </c>
      <c r="C31" s="19"/>
      <c r="D31" s="4" t="s">
        <v>122</v>
      </c>
      <c r="E31" s="48">
        <v>-37003.120000000003</v>
      </c>
      <c r="F31" s="49">
        <v>0</v>
      </c>
      <c r="G31" s="51">
        <v>0</v>
      </c>
      <c r="H31" s="18">
        <f t="shared" si="0"/>
        <v>0</v>
      </c>
      <c r="I31" s="13">
        <f>_xlfn.IFNA(VLOOKUP("TOTAL OS 2286",Working!C:H,2,FALSE),0)</f>
        <v>28270.2</v>
      </c>
      <c r="J31" s="54">
        <f t="shared" si="1"/>
        <v>-8732.9200000000019</v>
      </c>
      <c r="K31" s="103">
        <f t="shared" si="2"/>
        <v>-8.7329200000000023E-4</v>
      </c>
      <c r="L31" s="93">
        <v>1428</v>
      </c>
      <c r="M31" s="40"/>
      <c r="N31" s="94">
        <v>0.47999999999956344</v>
      </c>
      <c r="O31" s="103"/>
      <c r="P31" s="104">
        <f t="shared" si="5"/>
        <v>0</v>
      </c>
      <c r="Q31" s="104"/>
    </row>
    <row r="32" spans="1:17" x14ac:dyDescent="0.25">
      <c r="A32" s="21" t="s">
        <v>15</v>
      </c>
      <c r="B32" s="21"/>
      <c r="C32" s="21"/>
      <c r="D32" s="22"/>
      <c r="E32" s="23">
        <f t="shared" ref="E32:J32" si="6">SUM(E2:E30)</f>
        <v>-220274853.1700002</v>
      </c>
      <c r="F32" s="23">
        <f t="shared" si="6"/>
        <v>5096.777</v>
      </c>
      <c r="G32" s="23">
        <f t="shared" si="6"/>
        <v>36265.634714796171</v>
      </c>
      <c r="H32" s="23">
        <f t="shared" si="6"/>
        <v>5277289.3490660442</v>
      </c>
      <c r="I32" s="23">
        <f t="shared" si="6"/>
        <v>73577680.019796267</v>
      </c>
      <c r="J32" s="24">
        <f t="shared" si="6"/>
        <v>-141419883.80113789</v>
      </c>
      <c r="K32" s="95">
        <f t="shared" ref="K32:M32" si="7">SUM(K2:K30)</f>
        <v>-14.141988380113789</v>
      </c>
      <c r="L32" s="95">
        <f>SUM(L2:L31)</f>
        <v>36138.951226050507</v>
      </c>
      <c r="M32" s="95">
        <f t="shared" si="7"/>
        <v>1554.6834887456712</v>
      </c>
      <c r="N32" s="95">
        <f>SUM(N2:N31)</f>
        <v>-77175346.191604167</v>
      </c>
      <c r="O32" s="95">
        <f>SUM(E32:N32)</f>
        <v>-359936071.88943875</v>
      </c>
      <c r="P32" s="96">
        <f>SUM(P2:P31)</f>
        <v>-6.4244537129533708</v>
      </c>
    </row>
    <row r="33" spans="1:13" x14ac:dyDescent="0.25">
      <c r="E33" s="5"/>
      <c r="I33" s="12"/>
      <c r="J33" s="15"/>
      <c r="K33" s="103">
        <f t="shared" ref="K33" si="8">J33/10^7</f>
        <v>0</v>
      </c>
      <c r="M33" s="40"/>
    </row>
    <row r="34" spans="1:13" x14ac:dyDescent="0.25">
      <c r="H34" s="12"/>
      <c r="J34" s="15"/>
    </row>
    <row r="35" spans="1:13" x14ac:dyDescent="0.25">
      <c r="A35" s="25"/>
      <c r="I35" s="12"/>
      <c r="J35" s="15"/>
      <c r="K35" s="97"/>
      <c r="L35" s="97"/>
      <c r="M35" s="97"/>
    </row>
    <row r="36" spans="1:13" x14ac:dyDescent="0.25">
      <c r="I36" s="12"/>
      <c r="J36" s="20"/>
      <c r="K36" s="36"/>
      <c r="L36" s="8"/>
      <c r="M36" s="9"/>
    </row>
    <row r="37" spans="1:13" ht="17.25" x14ac:dyDescent="0.25">
      <c r="A37" s="6"/>
      <c r="F37" s="14"/>
      <c r="J37" s="12"/>
      <c r="K37" s="36"/>
      <c r="L37" s="8"/>
      <c r="M37" s="9"/>
    </row>
    <row r="38" spans="1:13" x14ac:dyDescent="0.25">
      <c r="C38" s="16"/>
      <c r="D38" s="16"/>
      <c r="K38" s="35"/>
    </row>
    <row r="39" spans="1:13" x14ac:dyDescent="0.25">
      <c r="D39" s="20"/>
      <c r="J39" s="15"/>
    </row>
    <row r="40" spans="1:13" x14ac:dyDescent="0.25">
      <c r="J40" s="15"/>
    </row>
    <row r="42" spans="1:13" x14ac:dyDescent="0.25">
      <c r="J42" s="15"/>
    </row>
    <row r="43" spans="1:13" x14ac:dyDescent="0.25">
      <c r="J43" s="11"/>
    </row>
    <row r="44" spans="1:13" x14ac:dyDescent="0.25">
      <c r="J44" s="20"/>
    </row>
  </sheetData>
  <autoFilter ref="A1:P39" xr:uid="{00000000-0009-0000-0000-000000000000}"/>
  <mergeCells count="1">
    <mergeCell ref="K35:M35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91"/>
  <sheetViews>
    <sheetView zoomScale="90" zoomScaleNormal="90" workbookViewId="0">
      <selection activeCell="C4" sqref="C4"/>
    </sheetView>
  </sheetViews>
  <sheetFormatPr defaultColWidth="9.140625" defaultRowHeight="15" x14ac:dyDescent="0.25"/>
  <cols>
    <col min="1" max="1" width="12.85546875" style="2" customWidth="1"/>
    <col min="2" max="2" width="12.28515625" style="2" customWidth="1"/>
    <col min="3" max="3" width="43.85546875" style="2" bestFit="1" customWidth="1"/>
    <col min="4" max="4" width="15.7109375" style="2" bestFit="1" customWidth="1"/>
    <col min="5" max="5" width="13.28515625" style="2" bestFit="1" customWidth="1"/>
    <col min="6" max="6" width="13.7109375" style="2" customWidth="1"/>
    <col min="7" max="7" width="12.42578125" style="2" bestFit="1" customWidth="1"/>
    <col min="8" max="8" width="14" style="2" bestFit="1" customWidth="1"/>
    <col min="9" max="9" width="11.5703125" style="2" bestFit="1" customWidth="1"/>
    <col min="10" max="10" width="16.28515625" style="2" customWidth="1"/>
    <col min="11" max="11" width="13.7109375" style="2" bestFit="1" customWidth="1"/>
    <col min="12" max="12" width="13.28515625" style="2" bestFit="1" customWidth="1"/>
    <col min="13" max="13" width="12.5703125" style="2" bestFit="1" customWidth="1"/>
    <col min="14" max="15" width="9.5703125" style="2" bestFit="1" customWidth="1"/>
    <col min="16" max="16384" width="9.140625" style="2"/>
  </cols>
  <sheetData>
    <row r="1" spans="1:8" ht="39" x14ac:dyDescent="0.25">
      <c r="A1" s="2">
        <f>_xlfn.IFNA(MATCH("PLANT 2286",C:C,0),0)</f>
        <v>4</v>
      </c>
      <c r="D1" s="37" t="s">
        <v>112</v>
      </c>
      <c r="E1" s="37" t="s">
        <v>113</v>
      </c>
      <c r="F1" s="38"/>
    </row>
    <row r="2" spans="1:8" x14ac:dyDescent="0.25">
      <c r="A2" s="2">
        <f>_xlfn.IFNA(MATCH("TOTAL OS 2286",C:C,0),0)</f>
        <v>7</v>
      </c>
    </row>
    <row r="4" spans="1:8" x14ac:dyDescent="0.25">
      <c r="C4" s="90" t="s">
        <v>120</v>
      </c>
      <c r="D4" s="84" t="s">
        <v>109</v>
      </c>
      <c r="E4" s="84" t="s">
        <v>43</v>
      </c>
      <c r="F4" s="84" t="s">
        <v>42</v>
      </c>
      <c r="G4" s="84"/>
      <c r="H4" s="84" t="s">
        <v>20</v>
      </c>
    </row>
    <row r="5" spans="1:8" x14ac:dyDescent="0.25">
      <c r="C5" s="85"/>
      <c r="D5" s="85"/>
      <c r="E5" s="85"/>
      <c r="F5" s="85"/>
      <c r="G5" s="85"/>
      <c r="H5" s="85"/>
    </row>
    <row r="6" spans="1:8" x14ac:dyDescent="0.25">
      <c r="C6" s="85" t="s">
        <v>142</v>
      </c>
      <c r="D6" s="85">
        <v>28270.2</v>
      </c>
      <c r="E6" s="85">
        <f>D6*0.09</f>
        <v>2544.3179999999998</v>
      </c>
      <c r="F6" s="85">
        <f>D6*0.09</f>
        <v>2544.3179999999998</v>
      </c>
      <c r="G6" s="85"/>
      <c r="H6" s="85">
        <f>SUM(D6:F6)</f>
        <v>33358.836000000003</v>
      </c>
    </row>
    <row r="7" spans="1:8" x14ac:dyDescent="0.25">
      <c r="C7" s="84" t="s">
        <v>121</v>
      </c>
      <c r="D7" s="86">
        <f>SUM(D5:D6)</f>
        <v>28270.2</v>
      </c>
      <c r="E7" s="86">
        <f>SUM(E5:E6)</f>
        <v>2544.3179999999998</v>
      </c>
      <c r="F7" s="86">
        <f>SUM(F5:F6)</f>
        <v>2544.3179999999998</v>
      </c>
      <c r="G7" s="86"/>
      <c r="H7" s="86">
        <f>SUM(H5:H6)</f>
        <v>33358.836000000003</v>
      </c>
    </row>
    <row r="10" spans="1:8" x14ac:dyDescent="0.25">
      <c r="C10" s="84" t="s">
        <v>115</v>
      </c>
      <c r="D10" s="84" t="s">
        <v>109</v>
      </c>
      <c r="E10" s="84" t="s">
        <v>43</v>
      </c>
      <c r="F10" s="84" t="s">
        <v>42</v>
      </c>
      <c r="G10" s="84"/>
      <c r="H10" s="84" t="s">
        <v>20</v>
      </c>
    </row>
    <row r="11" spans="1:8" x14ac:dyDescent="0.25">
      <c r="C11" s="85"/>
      <c r="D11" s="85"/>
      <c r="E11" s="85"/>
      <c r="F11" s="85"/>
      <c r="G11" s="85"/>
      <c r="H11" s="85"/>
    </row>
    <row r="12" spans="1:8" x14ac:dyDescent="0.25">
      <c r="C12" s="87" t="s">
        <v>129</v>
      </c>
      <c r="D12" s="88">
        <v>19513207.578286231</v>
      </c>
      <c r="E12" s="85"/>
      <c r="F12" s="85"/>
      <c r="G12" s="85"/>
      <c r="H12" s="85"/>
    </row>
    <row r="13" spans="1:8" x14ac:dyDescent="0.25">
      <c r="C13" s="87" t="s">
        <v>130</v>
      </c>
      <c r="D13" s="88">
        <v>8883584.2355100326</v>
      </c>
      <c r="E13" s="85"/>
      <c r="F13" s="85"/>
      <c r="G13" s="85"/>
      <c r="H13" s="85"/>
    </row>
    <row r="14" spans="1:8" x14ac:dyDescent="0.25">
      <c r="C14" s="87" t="s">
        <v>131</v>
      </c>
      <c r="D14" s="88">
        <v>3505128.9970000028</v>
      </c>
      <c r="E14" s="85"/>
      <c r="F14" s="85"/>
      <c r="G14" s="85"/>
      <c r="H14" s="85"/>
    </row>
    <row r="15" spans="1:8" x14ac:dyDescent="0.25">
      <c r="C15" s="87" t="s">
        <v>132</v>
      </c>
      <c r="D15" s="88">
        <v>139387.04999999999</v>
      </c>
      <c r="E15" s="85"/>
      <c r="F15" s="85"/>
      <c r="G15" s="85"/>
      <c r="H15" s="85"/>
    </row>
    <row r="16" spans="1:8" x14ac:dyDescent="0.25">
      <c r="C16" s="87" t="s">
        <v>149</v>
      </c>
      <c r="D16" s="89">
        <v>18298709.589047916</v>
      </c>
      <c r="E16" s="85"/>
      <c r="F16" s="85"/>
      <c r="G16" s="85"/>
      <c r="H16" s="85"/>
    </row>
    <row r="17" spans="3:8" x14ac:dyDescent="0.25">
      <c r="C17" s="87" t="s">
        <v>150</v>
      </c>
      <c r="D17" s="89">
        <v>12264832.927388268</v>
      </c>
      <c r="E17" s="85"/>
      <c r="F17" s="85"/>
      <c r="G17" s="85"/>
      <c r="H17" s="85"/>
    </row>
    <row r="18" spans="3:8" x14ac:dyDescent="0.25">
      <c r="C18" s="87" t="s">
        <v>151</v>
      </c>
      <c r="D18" s="89">
        <v>7479408.7519999947</v>
      </c>
      <c r="E18" s="85"/>
      <c r="F18" s="85"/>
      <c r="G18" s="85"/>
      <c r="H18" s="85"/>
    </row>
    <row r="19" spans="3:8" x14ac:dyDescent="0.25">
      <c r="C19" s="87" t="s">
        <v>152</v>
      </c>
      <c r="D19" s="89">
        <v>413415.29999999987</v>
      </c>
      <c r="E19" s="85"/>
      <c r="F19" s="85"/>
      <c r="G19" s="85"/>
      <c r="H19" s="85"/>
    </row>
    <row r="20" spans="3:8" x14ac:dyDescent="0.25">
      <c r="C20" s="87"/>
      <c r="D20" s="88"/>
      <c r="E20" s="85"/>
      <c r="F20" s="85"/>
      <c r="G20" s="85"/>
      <c r="H20" s="85"/>
    </row>
    <row r="21" spans="3:8" x14ac:dyDescent="0.25">
      <c r="C21" s="84" t="s">
        <v>116</v>
      </c>
      <c r="D21" s="86">
        <f>SUM(D11:D20)</f>
        <v>70497674.429232433</v>
      </c>
      <c r="E21" s="86">
        <f>SUM(E11:E20)</f>
        <v>0</v>
      </c>
      <c r="F21" s="86">
        <f>SUM(F11:F20)</f>
        <v>0</v>
      </c>
      <c r="G21" s="86"/>
      <c r="H21" s="86">
        <f>SUM(H11:H20)</f>
        <v>0</v>
      </c>
    </row>
    <row r="24" spans="3:8" x14ac:dyDescent="0.25">
      <c r="C24" s="84" t="s">
        <v>108</v>
      </c>
      <c r="D24" s="84" t="s">
        <v>109</v>
      </c>
      <c r="E24" s="84" t="s">
        <v>43</v>
      </c>
      <c r="F24" s="84" t="s">
        <v>42</v>
      </c>
      <c r="G24" s="84"/>
      <c r="H24" s="84" t="s">
        <v>20</v>
      </c>
    </row>
    <row r="25" spans="3:8" x14ac:dyDescent="0.25">
      <c r="C25" s="85"/>
      <c r="D25" s="85"/>
      <c r="E25" s="85"/>
      <c r="F25" s="85"/>
      <c r="G25" s="85"/>
      <c r="H25" s="85"/>
    </row>
    <row r="26" spans="3:8" x14ac:dyDescent="0.25">
      <c r="C26" s="85"/>
      <c r="D26" s="85"/>
      <c r="E26" s="85">
        <f>D26*0.09</f>
        <v>0</v>
      </c>
      <c r="F26" s="85">
        <f>D26*0.09</f>
        <v>0</v>
      </c>
      <c r="G26" s="85"/>
      <c r="H26" s="85">
        <f>SUM(D26:F26)</f>
        <v>0</v>
      </c>
    </row>
    <row r="27" spans="3:8" x14ac:dyDescent="0.25">
      <c r="C27" s="84" t="s">
        <v>110</v>
      </c>
      <c r="D27" s="86">
        <f>SUM(D25:D26)</f>
        <v>0</v>
      </c>
      <c r="E27" s="86">
        <f>SUM(E25:E26)</f>
        <v>0</v>
      </c>
      <c r="F27" s="86">
        <f>SUM(F25:F26)</f>
        <v>0</v>
      </c>
      <c r="G27" s="86"/>
      <c r="H27" s="86">
        <f>SUM(H25:H26)</f>
        <v>0</v>
      </c>
    </row>
    <row r="30" spans="3:8" x14ac:dyDescent="0.25">
      <c r="C30" s="58" t="s">
        <v>53</v>
      </c>
      <c r="D30" s="41" t="s">
        <v>16</v>
      </c>
      <c r="E30" s="42" t="s">
        <v>43</v>
      </c>
      <c r="F30" s="42" t="s">
        <v>42</v>
      </c>
      <c r="G30" s="42" t="s">
        <v>19</v>
      </c>
      <c r="H30" s="42" t="s">
        <v>20</v>
      </c>
    </row>
    <row r="31" spans="3:8" x14ac:dyDescent="0.25">
      <c r="C31" s="77"/>
      <c r="D31" s="44"/>
      <c r="E31" s="100"/>
      <c r="F31" s="44"/>
      <c r="G31" s="44"/>
      <c r="H31" s="45"/>
    </row>
    <row r="32" spans="3:8" x14ac:dyDescent="0.25">
      <c r="C32" s="78" t="s">
        <v>124</v>
      </c>
      <c r="D32" s="79">
        <v>80856.800000000003</v>
      </c>
      <c r="E32" s="102">
        <f>D32*0.09</f>
        <v>7277.1120000000001</v>
      </c>
      <c r="F32" s="102">
        <f>D32*0.09</f>
        <v>7277.1120000000001</v>
      </c>
      <c r="G32" s="44"/>
      <c r="H32" s="45">
        <f>SUM(D32:F32)</f>
        <v>95411.02399999999</v>
      </c>
    </row>
    <row r="33" spans="3:8" x14ac:dyDescent="0.25">
      <c r="C33" s="78" t="s">
        <v>143</v>
      </c>
      <c r="D33" s="71">
        <v>421114.50000000006</v>
      </c>
      <c r="E33" s="102">
        <f>D33*0.09</f>
        <v>37900.305</v>
      </c>
      <c r="F33" s="102">
        <f>D33*0.09</f>
        <v>37900.305</v>
      </c>
      <c r="G33" s="44"/>
      <c r="H33" s="45">
        <f>SUM(D33:F33)</f>
        <v>496915.11000000004</v>
      </c>
    </row>
    <row r="34" spans="3:8" x14ac:dyDescent="0.25">
      <c r="C34" s="46" t="s">
        <v>54</v>
      </c>
      <c r="D34" s="47">
        <f>SUM(D31:D33)</f>
        <v>501971.30000000005</v>
      </c>
      <c r="E34" s="47">
        <f>SUM(E31:E33)</f>
        <v>45177.417000000001</v>
      </c>
      <c r="F34" s="47">
        <f>SUM(F31:F33)</f>
        <v>45177.417000000001</v>
      </c>
      <c r="G34" s="47"/>
      <c r="H34" s="47">
        <f>SUM(H31:H33)</f>
        <v>592326.13400000008</v>
      </c>
    </row>
    <row r="35" spans="3:8" x14ac:dyDescent="0.25">
      <c r="C35" s="25"/>
      <c r="D35" s="25"/>
      <c r="E35" s="25"/>
      <c r="F35" s="25"/>
      <c r="G35" s="25"/>
      <c r="H35" s="25"/>
    </row>
    <row r="36" spans="3:8" x14ac:dyDescent="0.25">
      <c r="C36" s="25"/>
      <c r="D36" s="25"/>
      <c r="E36" s="25"/>
      <c r="F36" s="25"/>
      <c r="G36" s="25"/>
      <c r="H36" s="25"/>
    </row>
    <row r="37" spans="3:8" x14ac:dyDescent="0.25">
      <c r="C37" s="41" t="s">
        <v>55</v>
      </c>
      <c r="D37" s="41" t="s">
        <v>16</v>
      </c>
      <c r="E37" s="42" t="s">
        <v>43</v>
      </c>
      <c r="F37" s="42" t="s">
        <v>42</v>
      </c>
      <c r="G37" s="42"/>
      <c r="H37" s="42" t="s">
        <v>20</v>
      </c>
    </row>
    <row r="38" spans="3:8" x14ac:dyDescent="0.25">
      <c r="C38" s="62"/>
      <c r="D38" s="99"/>
      <c r="E38" s="99"/>
      <c r="F38" s="99"/>
      <c r="G38" s="99"/>
      <c r="H38" s="99"/>
    </row>
    <row r="39" spans="3:8" x14ac:dyDescent="0.25">
      <c r="C39" s="46" t="s">
        <v>56</v>
      </c>
      <c r="D39" s="47">
        <f>SUM(D38:D38)</f>
        <v>0</v>
      </c>
      <c r="E39" s="47">
        <f>SUM(E38:E38)</f>
        <v>0</v>
      </c>
      <c r="F39" s="47">
        <f>SUM(F38:F38)</f>
        <v>0</v>
      </c>
      <c r="G39" s="47"/>
      <c r="H39" s="47">
        <f>SUM(H38:H38)</f>
        <v>0</v>
      </c>
    </row>
    <row r="40" spans="3:8" x14ac:dyDescent="0.25">
      <c r="C40" s="25"/>
      <c r="D40" s="25"/>
      <c r="E40" s="25"/>
      <c r="F40" s="25"/>
      <c r="G40" s="25"/>
      <c r="H40" s="25"/>
    </row>
    <row r="41" spans="3:8" x14ac:dyDescent="0.25">
      <c r="C41" s="25"/>
      <c r="D41" s="25"/>
      <c r="E41" s="25"/>
      <c r="F41" s="25"/>
      <c r="G41" s="25"/>
      <c r="H41" s="25"/>
    </row>
    <row r="42" spans="3:8" x14ac:dyDescent="0.25">
      <c r="C42" s="58" t="s">
        <v>57</v>
      </c>
      <c r="D42" s="59" t="s">
        <v>16</v>
      </c>
      <c r="E42" s="46" t="s">
        <v>43</v>
      </c>
      <c r="F42" s="46" t="s">
        <v>42</v>
      </c>
      <c r="G42" s="46" t="s">
        <v>19</v>
      </c>
      <c r="H42" s="46" t="s">
        <v>20</v>
      </c>
    </row>
    <row r="43" spans="3:8" x14ac:dyDescent="0.25">
      <c r="C43" s="98"/>
      <c r="D43" s="47"/>
      <c r="E43" s="47">
        <f>D43*9%</f>
        <v>0</v>
      </c>
      <c r="F43" s="47">
        <f>D43*9%</f>
        <v>0</v>
      </c>
      <c r="G43" s="47"/>
      <c r="H43" s="47">
        <f>SUM(D43:G43)</f>
        <v>0</v>
      </c>
    </row>
    <row r="44" spans="3:8" x14ac:dyDescent="0.25">
      <c r="C44" s="60"/>
      <c r="D44" s="47"/>
      <c r="E44" s="47">
        <f>D44*0.09</f>
        <v>0</v>
      </c>
      <c r="F44" s="47">
        <f>D44*0.09</f>
        <v>0</v>
      </c>
      <c r="G44" s="47"/>
      <c r="H44" s="47">
        <f>SUM(D44:F44)</f>
        <v>0</v>
      </c>
    </row>
    <row r="45" spans="3:8" x14ac:dyDescent="0.25">
      <c r="C45" s="60" t="s">
        <v>138</v>
      </c>
      <c r="D45" s="47">
        <v>7287.84</v>
      </c>
      <c r="E45" s="47">
        <f>D45*0.09</f>
        <v>655.90559999999994</v>
      </c>
      <c r="F45" s="47">
        <f>D45*0.09</f>
        <v>655.90559999999994</v>
      </c>
      <c r="G45" s="47"/>
      <c r="H45" s="47">
        <f>SUM(D45:F45)</f>
        <v>8599.6512000000002</v>
      </c>
    </row>
    <row r="46" spans="3:8" x14ac:dyDescent="0.25">
      <c r="C46" s="61" t="s">
        <v>58</v>
      </c>
      <c r="D46" s="47">
        <f>SUM(D43:D45)</f>
        <v>7287.84</v>
      </c>
      <c r="E46" s="47">
        <f>SUM(E43:E45)</f>
        <v>655.90559999999994</v>
      </c>
      <c r="F46" s="47">
        <f>SUM(F43:F45)</f>
        <v>655.90559999999994</v>
      </c>
      <c r="G46" s="47"/>
      <c r="H46" s="47">
        <f>SUM(H43:H45)</f>
        <v>8599.6512000000002</v>
      </c>
    </row>
    <row r="47" spans="3:8" x14ac:dyDescent="0.25">
      <c r="C47" s="26"/>
      <c r="D47" s="27"/>
      <c r="E47" s="27"/>
      <c r="F47" s="27"/>
      <c r="G47" s="27"/>
      <c r="H47" s="27"/>
    </row>
    <row r="48" spans="3:8" x14ac:dyDescent="0.25">
      <c r="C48" s="25"/>
      <c r="D48" s="25"/>
      <c r="E48" s="25"/>
      <c r="F48" s="25"/>
      <c r="G48" s="25"/>
      <c r="H48" s="25"/>
    </row>
    <row r="49" spans="3:8" x14ac:dyDescent="0.25">
      <c r="C49" s="58" t="s">
        <v>59</v>
      </c>
      <c r="D49" s="41" t="s">
        <v>16</v>
      </c>
      <c r="E49" s="42" t="s">
        <v>43</v>
      </c>
      <c r="F49" s="42" t="s">
        <v>42</v>
      </c>
      <c r="G49" s="42" t="s">
        <v>19</v>
      </c>
      <c r="H49" s="42" t="s">
        <v>20</v>
      </c>
    </row>
    <row r="50" spans="3:8" x14ac:dyDescent="0.25">
      <c r="C50" s="99"/>
      <c r="D50" s="44"/>
      <c r="E50" s="44"/>
      <c r="F50" s="44"/>
      <c r="G50" s="44"/>
      <c r="H50" s="45"/>
    </row>
    <row r="51" spans="3:8" x14ac:dyDescent="0.25">
      <c r="C51" s="99" t="s">
        <v>138</v>
      </c>
      <c r="D51" s="44">
        <v>3380672.872</v>
      </c>
      <c r="E51" s="44">
        <f>D51*0.09</f>
        <v>304260.55848000001</v>
      </c>
      <c r="F51" s="44">
        <f>D51*0.09</f>
        <v>304260.55848000001</v>
      </c>
      <c r="G51" s="44"/>
      <c r="H51" s="45">
        <f>SUM(D51:F51)</f>
        <v>3989193.9889600002</v>
      </c>
    </row>
    <row r="52" spans="3:8" x14ac:dyDescent="0.25">
      <c r="C52" s="46" t="s">
        <v>60</v>
      </c>
      <c r="D52" s="47">
        <f>SUM(D50:D51)</f>
        <v>3380672.872</v>
      </c>
      <c r="E52" s="47">
        <f>SUM(E50:E51)</f>
        <v>304260.55848000001</v>
      </c>
      <c r="F52" s="47">
        <f>SUM(F50:F51)</f>
        <v>304260.55848000001</v>
      </c>
      <c r="G52" s="47"/>
      <c r="H52" s="47">
        <f>SUM(H50:H51)</f>
        <v>3989193.9889600002</v>
      </c>
    </row>
    <row r="53" spans="3:8" x14ac:dyDescent="0.25">
      <c r="C53" s="27"/>
      <c r="D53" s="27"/>
      <c r="E53" s="27"/>
      <c r="F53" s="27"/>
      <c r="G53" s="27"/>
      <c r="H53" s="27"/>
    </row>
    <row r="54" spans="3:8" x14ac:dyDescent="0.25">
      <c r="C54" s="27"/>
      <c r="D54" s="27"/>
      <c r="E54" s="27"/>
      <c r="F54" s="27"/>
      <c r="G54" s="27"/>
      <c r="H54" s="27"/>
    </row>
    <row r="55" spans="3:8" x14ac:dyDescent="0.25">
      <c r="C55" s="41" t="s">
        <v>61</v>
      </c>
      <c r="D55" s="41" t="s">
        <v>16</v>
      </c>
      <c r="E55" s="42" t="s">
        <v>17</v>
      </c>
      <c r="F55" s="42" t="s">
        <v>18</v>
      </c>
      <c r="G55" s="42" t="s">
        <v>19</v>
      </c>
      <c r="H55" s="42" t="s">
        <v>20</v>
      </c>
    </row>
    <row r="56" spans="3:8" x14ac:dyDescent="0.25">
      <c r="C56" s="99"/>
      <c r="D56" s="44"/>
      <c r="E56" s="100">
        <f>D56*9%</f>
        <v>0</v>
      </c>
      <c r="F56" s="100">
        <f>D56*9%</f>
        <v>0</v>
      </c>
      <c r="G56" s="44"/>
      <c r="H56" s="45">
        <f>SUM(D56:G56)</f>
        <v>0</v>
      </c>
    </row>
    <row r="57" spans="3:8" x14ac:dyDescent="0.25">
      <c r="C57" s="46" t="s">
        <v>62</v>
      </c>
      <c r="D57" s="47">
        <f>SUM(D56:D56)</f>
        <v>0</v>
      </c>
      <c r="E57" s="47">
        <f>SUM(E56:E56)</f>
        <v>0</v>
      </c>
      <c r="F57" s="47">
        <f>SUM(F56:F56)</f>
        <v>0</v>
      </c>
      <c r="G57" s="47"/>
      <c r="H57" s="47">
        <f>SUM(H56:H56)</f>
        <v>0</v>
      </c>
    </row>
    <row r="58" spans="3:8" x14ac:dyDescent="0.25">
      <c r="C58" s="27"/>
      <c r="D58" s="27"/>
      <c r="E58" s="27"/>
      <c r="F58" s="27"/>
      <c r="G58" s="27"/>
      <c r="H58" s="27"/>
    </row>
    <row r="59" spans="3:8" x14ac:dyDescent="0.25">
      <c r="C59" s="25"/>
      <c r="D59" s="25"/>
      <c r="E59" s="25"/>
      <c r="F59" s="25"/>
      <c r="G59" s="25"/>
      <c r="H59" s="25"/>
    </row>
    <row r="60" spans="3:8" x14ac:dyDescent="0.25">
      <c r="C60" s="41" t="s">
        <v>63</v>
      </c>
      <c r="D60" s="41" t="s">
        <v>16</v>
      </c>
      <c r="E60" s="42" t="s">
        <v>43</v>
      </c>
      <c r="F60" s="42" t="s">
        <v>42</v>
      </c>
      <c r="G60" s="42"/>
      <c r="H60" s="42" t="s">
        <v>20</v>
      </c>
    </row>
    <row r="61" spans="3:8" x14ac:dyDescent="0.25">
      <c r="C61" s="99"/>
      <c r="D61" s="44"/>
      <c r="E61" s="44">
        <f>D61*9%</f>
        <v>0</v>
      </c>
      <c r="F61" s="44">
        <f>D61*9%</f>
        <v>0</v>
      </c>
      <c r="G61" s="44"/>
      <c r="H61" s="45">
        <f>SUM(D61:G61)</f>
        <v>0</v>
      </c>
    </row>
    <row r="62" spans="3:8" x14ac:dyDescent="0.25">
      <c r="C62" s="46" t="s">
        <v>64</v>
      </c>
      <c r="D62" s="47">
        <f>SUM(D61:D61)</f>
        <v>0</v>
      </c>
      <c r="E62" s="47">
        <f>SUM(E61:E61)</f>
        <v>0</v>
      </c>
      <c r="F62" s="47">
        <f>SUM(F61:F61)</f>
        <v>0</v>
      </c>
      <c r="G62" s="47"/>
      <c r="H62" s="47">
        <f>SUM(H61:H61)</f>
        <v>0</v>
      </c>
    </row>
    <row r="63" spans="3:8" x14ac:dyDescent="0.25">
      <c r="C63" s="27"/>
      <c r="D63" s="27"/>
      <c r="E63" s="27"/>
      <c r="F63" s="27"/>
      <c r="G63" s="27"/>
      <c r="H63" s="27"/>
    </row>
    <row r="64" spans="3:8" x14ac:dyDescent="0.25">
      <c r="C64" s="27"/>
      <c r="D64" s="27"/>
      <c r="E64" s="27"/>
      <c r="F64" s="27"/>
      <c r="G64" s="27"/>
      <c r="H64" s="27"/>
    </row>
    <row r="65" spans="3:8" x14ac:dyDescent="0.25">
      <c r="C65" s="58" t="s">
        <v>65</v>
      </c>
      <c r="D65" s="41" t="s">
        <v>16</v>
      </c>
      <c r="E65" s="42" t="s">
        <v>43</v>
      </c>
      <c r="F65" s="42" t="s">
        <v>42</v>
      </c>
      <c r="G65" s="42" t="s">
        <v>19</v>
      </c>
      <c r="H65" s="42" t="s">
        <v>20</v>
      </c>
    </row>
    <row r="66" spans="3:8" x14ac:dyDescent="0.25">
      <c r="C66" s="99"/>
      <c r="D66" s="99">
        <v>0</v>
      </c>
      <c r="E66" s="99">
        <f>D66*0.06</f>
        <v>0</v>
      </c>
      <c r="F66" s="99">
        <f>D66*0.06</f>
        <v>0</v>
      </c>
      <c r="G66" s="99"/>
      <c r="H66" s="99">
        <f>SUM(D66:F66)</f>
        <v>0</v>
      </c>
    </row>
    <row r="67" spans="3:8" x14ac:dyDescent="0.25">
      <c r="C67" s="63" t="s">
        <v>133</v>
      </c>
      <c r="D67" s="99">
        <v>1476414.5619999999</v>
      </c>
      <c r="E67" s="99">
        <f>D67*0.06</f>
        <v>88584.873719999989</v>
      </c>
      <c r="F67" s="99">
        <f>D67*0.06</f>
        <v>88584.873719999989</v>
      </c>
      <c r="G67" s="99"/>
      <c r="H67" s="99">
        <f>SUM(D67:F67)</f>
        <v>1653584.30944</v>
      </c>
    </row>
    <row r="68" spans="3:8" x14ac:dyDescent="0.25">
      <c r="C68" s="99" t="s">
        <v>139</v>
      </c>
      <c r="D68" s="99">
        <v>1439255.0660000001</v>
      </c>
      <c r="E68" s="99">
        <f>D68*0.09</f>
        <v>129532.95594</v>
      </c>
      <c r="F68" s="99">
        <f>D68*0.09</f>
        <v>129532.95594</v>
      </c>
      <c r="G68" s="99"/>
      <c r="H68" s="99">
        <f>SUM(D68:F68)</f>
        <v>1698320.9778800001</v>
      </c>
    </row>
    <row r="69" spans="3:8" x14ac:dyDescent="0.25">
      <c r="C69" s="64" t="s">
        <v>66</v>
      </c>
      <c r="D69" s="49">
        <f>SUM(D66:D68)</f>
        <v>2915669.628</v>
      </c>
      <c r="E69" s="49">
        <f>SUM(E66:E68)</f>
        <v>218117.82965999999</v>
      </c>
      <c r="F69" s="49">
        <f>SUM(F66:F68)</f>
        <v>218117.82965999999</v>
      </c>
      <c r="G69" s="49"/>
      <c r="H69" s="49">
        <f>SUM(H66:H68)</f>
        <v>3351905.2873200001</v>
      </c>
    </row>
    <row r="70" spans="3:8" x14ac:dyDescent="0.25">
      <c r="C70" s="28"/>
      <c r="D70" s="29"/>
      <c r="E70" s="29"/>
      <c r="F70" s="29"/>
      <c r="G70" s="29"/>
      <c r="H70" s="29"/>
    </row>
    <row r="71" spans="3:8" x14ac:dyDescent="0.25">
      <c r="C71" s="27"/>
      <c r="D71" s="27"/>
      <c r="E71" s="27"/>
      <c r="F71" s="27"/>
      <c r="G71" s="27"/>
      <c r="H71" s="27"/>
    </row>
    <row r="72" spans="3:8" x14ac:dyDescent="0.25">
      <c r="C72" s="58" t="s">
        <v>67</v>
      </c>
      <c r="D72" s="41" t="s">
        <v>16</v>
      </c>
      <c r="E72" s="42" t="s">
        <v>17</v>
      </c>
      <c r="F72" s="42" t="s">
        <v>18</v>
      </c>
      <c r="G72" s="42" t="s">
        <v>19</v>
      </c>
      <c r="H72" s="42" t="s">
        <v>20</v>
      </c>
    </row>
    <row r="73" spans="3:8" x14ac:dyDescent="0.25">
      <c r="C73" s="99"/>
      <c r="D73" s="44"/>
      <c r="E73" s="44"/>
      <c r="F73" s="44"/>
      <c r="G73" s="44"/>
      <c r="H73" s="45"/>
    </row>
    <row r="74" spans="3:8" x14ac:dyDescent="0.25">
      <c r="C74" s="75" t="s">
        <v>118</v>
      </c>
      <c r="D74" s="71">
        <v>2709071.92</v>
      </c>
      <c r="E74" s="44">
        <f>D74*0.09</f>
        <v>243816.47279999999</v>
      </c>
      <c r="F74" s="44">
        <f>D74*0.09</f>
        <v>243816.47279999999</v>
      </c>
      <c r="G74" s="44"/>
      <c r="H74" s="45">
        <f>SUM(D74:F74)</f>
        <v>3196704.8656000001</v>
      </c>
    </row>
    <row r="75" spans="3:8" x14ac:dyDescent="0.25">
      <c r="C75" s="75" t="s">
        <v>128</v>
      </c>
      <c r="D75" s="71">
        <v>1075286.8899999999</v>
      </c>
      <c r="E75" s="44">
        <f>D75*0.09</f>
        <v>96775.820099999983</v>
      </c>
      <c r="F75" s="44">
        <f>D75*0.09</f>
        <v>96775.820099999983</v>
      </c>
      <c r="G75" s="44"/>
      <c r="H75" s="45">
        <f>SUM(D75:F75)</f>
        <v>1268838.5301999997</v>
      </c>
    </row>
    <row r="76" spans="3:8" x14ac:dyDescent="0.25">
      <c r="C76" s="75" t="s">
        <v>146</v>
      </c>
      <c r="D76" s="71">
        <v>529391.19999999995</v>
      </c>
      <c r="E76" s="44">
        <f>D76*0.09</f>
        <v>47645.207999999991</v>
      </c>
      <c r="F76" s="44">
        <f>D76*0.09</f>
        <v>47645.207999999991</v>
      </c>
      <c r="G76" s="44"/>
      <c r="H76" s="45">
        <f>SUM(D76:F76)</f>
        <v>624681.61599999992</v>
      </c>
    </row>
    <row r="77" spans="3:8" x14ac:dyDescent="0.25">
      <c r="C77" s="46" t="s">
        <v>68</v>
      </c>
      <c r="D77" s="47">
        <f>SUM(D73:D76)</f>
        <v>4313750.01</v>
      </c>
      <c r="E77" s="47">
        <f>SUM(E73:E76)</f>
        <v>388237.50089999998</v>
      </c>
      <c r="F77" s="47">
        <f>SUM(F73:F76)</f>
        <v>388237.50089999998</v>
      </c>
      <c r="G77" s="47"/>
      <c r="H77" s="47">
        <f>SUM(H73:H76)</f>
        <v>5090225.0118000004</v>
      </c>
    </row>
    <row r="78" spans="3:8" x14ac:dyDescent="0.25">
      <c r="C78" s="27"/>
      <c r="D78" s="27"/>
      <c r="E78" s="27"/>
      <c r="F78" s="27"/>
      <c r="G78" s="27"/>
      <c r="H78" s="27"/>
    </row>
    <row r="79" spans="3:8" x14ac:dyDescent="0.25">
      <c r="C79" s="27"/>
      <c r="D79" s="27"/>
      <c r="E79" s="27"/>
      <c r="F79" s="27"/>
      <c r="G79" s="27"/>
      <c r="H79" s="27"/>
    </row>
    <row r="80" spans="3:8" x14ac:dyDescent="0.25">
      <c r="C80" s="58" t="s">
        <v>69</v>
      </c>
      <c r="D80" s="41" t="s">
        <v>16</v>
      </c>
      <c r="E80" s="42" t="s">
        <v>43</v>
      </c>
      <c r="F80" s="42" t="s">
        <v>42</v>
      </c>
      <c r="G80" s="42" t="s">
        <v>19</v>
      </c>
      <c r="H80" s="42" t="s">
        <v>20</v>
      </c>
    </row>
    <row r="81" spans="3:8" x14ac:dyDescent="0.25">
      <c r="C81" s="99"/>
      <c r="D81" s="44"/>
      <c r="E81" s="44"/>
      <c r="F81" s="44"/>
      <c r="G81" s="44"/>
      <c r="H81" s="45"/>
    </row>
    <row r="82" spans="3:8" x14ac:dyDescent="0.25">
      <c r="C82" s="99" t="s">
        <v>127</v>
      </c>
      <c r="D82" s="44">
        <v>766625.34</v>
      </c>
      <c r="E82" s="44">
        <f>D82*0.09</f>
        <v>68996.280599999998</v>
      </c>
      <c r="F82" s="44">
        <f>D82*0.09</f>
        <v>68996.280599999998</v>
      </c>
      <c r="G82" s="44"/>
      <c r="H82" s="45">
        <f>SUM(D82:F82)</f>
        <v>904617.90119999996</v>
      </c>
    </row>
    <row r="83" spans="3:8" x14ac:dyDescent="0.25">
      <c r="C83" s="99" t="s">
        <v>145</v>
      </c>
      <c r="D83" s="44">
        <v>32080.2</v>
      </c>
      <c r="E83" s="44">
        <f>D83*0.09</f>
        <v>2887.2179999999998</v>
      </c>
      <c r="F83" s="44">
        <f>D83*0.09</f>
        <v>2887.2179999999998</v>
      </c>
      <c r="G83" s="44"/>
      <c r="H83" s="45">
        <f>SUM(D83:F83)</f>
        <v>37854.635999999999</v>
      </c>
    </row>
    <row r="84" spans="3:8" x14ac:dyDescent="0.25">
      <c r="C84" s="46" t="s">
        <v>70</v>
      </c>
      <c r="D84" s="47">
        <f>SUM(D81:D83)</f>
        <v>798705.53999999992</v>
      </c>
      <c r="E84" s="47">
        <f>SUM(E81:E83)</f>
        <v>71883.498599999992</v>
      </c>
      <c r="F84" s="47">
        <f>SUM(F81:F83)</f>
        <v>71883.498599999992</v>
      </c>
      <c r="G84" s="47"/>
      <c r="H84" s="47">
        <f>SUM(H81:H83)</f>
        <v>942472.5371999999</v>
      </c>
    </row>
    <row r="85" spans="3:8" x14ac:dyDescent="0.25">
      <c r="C85" s="27"/>
      <c r="D85" s="27"/>
      <c r="E85" s="27"/>
      <c r="F85" s="27"/>
      <c r="G85" s="27"/>
      <c r="H85" s="27"/>
    </row>
    <row r="86" spans="3:8" x14ac:dyDescent="0.25">
      <c r="C86" s="27"/>
      <c r="D86" s="27"/>
      <c r="E86" s="27"/>
      <c r="F86" s="27"/>
      <c r="G86" s="27"/>
      <c r="H86" s="27"/>
    </row>
    <row r="87" spans="3:8" x14ac:dyDescent="0.25">
      <c r="C87" s="65" t="s">
        <v>71</v>
      </c>
      <c r="D87" s="66" t="s">
        <v>16</v>
      </c>
      <c r="E87" s="66" t="s">
        <v>43</v>
      </c>
      <c r="F87" s="66" t="s">
        <v>42</v>
      </c>
      <c r="G87" s="66" t="s">
        <v>19</v>
      </c>
      <c r="H87" s="66" t="s">
        <v>20</v>
      </c>
    </row>
    <row r="88" spans="3:8" x14ac:dyDescent="0.25">
      <c r="C88" s="67"/>
      <c r="D88" s="68"/>
      <c r="E88" s="68">
        <f>D88*0.09</f>
        <v>0</v>
      </c>
      <c r="F88" s="68">
        <f>D88*0.09</f>
        <v>0</v>
      </c>
      <c r="G88" s="68"/>
      <c r="H88" s="68">
        <f>SUM(D88:F88)</f>
        <v>0</v>
      </c>
    </row>
    <row r="89" spans="3:8" x14ac:dyDescent="0.25">
      <c r="C89" s="67" t="s">
        <v>140</v>
      </c>
      <c r="D89" s="68">
        <v>2566009.86</v>
      </c>
      <c r="E89" s="68">
        <f>D89*0.09</f>
        <v>230940.88739999998</v>
      </c>
      <c r="F89" s="68">
        <f>D89*0.09</f>
        <v>230940.88739999998</v>
      </c>
      <c r="G89" s="68"/>
      <c r="H89" s="68">
        <f>SUM(D89:F89)</f>
        <v>3027891.6347999997</v>
      </c>
    </row>
    <row r="90" spans="3:8" x14ac:dyDescent="0.25">
      <c r="C90" s="69" t="s">
        <v>72</v>
      </c>
      <c r="D90" s="70">
        <f>SUM(D88:D89)</f>
        <v>2566009.86</v>
      </c>
      <c r="E90" s="70">
        <f>SUM(E88:E89)</f>
        <v>230940.88739999998</v>
      </c>
      <c r="F90" s="70">
        <f>SUM(F88:F89)</f>
        <v>230940.88739999998</v>
      </c>
      <c r="G90" s="70"/>
      <c r="H90" s="70">
        <f>SUM(H88:H89)</f>
        <v>3027891.6347999997</v>
      </c>
    </row>
    <row r="91" spans="3:8" x14ac:dyDescent="0.25">
      <c r="C91" s="30"/>
      <c r="D91" s="31"/>
      <c r="E91" s="31"/>
      <c r="F91" s="31"/>
      <c r="G91" s="31"/>
      <c r="H91" s="31"/>
    </row>
    <row r="92" spans="3:8" x14ac:dyDescent="0.25">
      <c r="C92" s="27"/>
      <c r="D92" s="27"/>
      <c r="E92" s="27"/>
      <c r="F92" s="27"/>
      <c r="G92" s="27"/>
      <c r="H92" s="27"/>
    </row>
    <row r="93" spans="3:8" x14ac:dyDescent="0.25">
      <c r="C93" s="58" t="s">
        <v>73</v>
      </c>
      <c r="D93" s="41" t="s">
        <v>16</v>
      </c>
      <c r="E93" s="42" t="s">
        <v>43</v>
      </c>
      <c r="F93" s="42" t="s">
        <v>42</v>
      </c>
      <c r="G93" s="42" t="s">
        <v>19</v>
      </c>
      <c r="H93" s="42" t="s">
        <v>20</v>
      </c>
    </row>
    <row r="94" spans="3:8" x14ac:dyDescent="0.25">
      <c r="C94" s="101"/>
      <c r="D94" s="71"/>
      <c r="E94" s="99"/>
      <c r="F94" s="99"/>
      <c r="G94" s="99"/>
      <c r="H94" s="99"/>
    </row>
    <row r="95" spans="3:8" x14ac:dyDescent="0.25">
      <c r="C95" s="101" t="s">
        <v>141</v>
      </c>
      <c r="D95" s="71">
        <v>1516794.977</v>
      </c>
      <c r="E95" s="99">
        <f>D95*0.09</f>
        <v>136511.54793</v>
      </c>
      <c r="F95" s="99">
        <f>D95*0.09</f>
        <v>136511.54793</v>
      </c>
      <c r="G95" s="99"/>
      <c r="H95" s="99">
        <f>SUM(D95:F95)</f>
        <v>1789818.0728599997</v>
      </c>
    </row>
    <row r="96" spans="3:8" x14ac:dyDescent="0.25">
      <c r="C96" s="64" t="s">
        <v>74</v>
      </c>
      <c r="D96" s="72">
        <f>SUM(D94:D95)</f>
        <v>1516794.977</v>
      </c>
      <c r="E96" s="72">
        <f>SUM(E94:E95)</f>
        <v>136511.54793</v>
      </c>
      <c r="F96" s="72">
        <f>SUM(F94:F95)</f>
        <v>136511.54793</v>
      </c>
      <c r="G96" s="72"/>
      <c r="H96" s="72">
        <f>SUM(H94:H95)</f>
        <v>1789818.0728599997</v>
      </c>
    </row>
    <row r="97" spans="3:8" x14ac:dyDescent="0.25">
      <c r="C97" s="28"/>
      <c r="D97" s="32"/>
      <c r="E97" s="32"/>
      <c r="F97" s="32"/>
      <c r="G97" s="32"/>
      <c r="H97" s="32"/>
    </row>
    <row r="98" spans="3:8" x14ac:dyDescent="0.25">
      <c r="C98" s="27"/>
      <c r="D98" s="27"/>
      <c r="E98" s="27"/>
      <c r="F98" s="27"/>
      <c r="G98" s="27"/>
      <c r="H98" s="27"/>
    </row>
    <row r="99" spans="3:8" x14ac:dyDescent="0.25">
      <c r="C99" s="41" t="s">
        <v>75</v>
      </c>
      <c r="D99" s="41" t="s">
        <v>16</v>
      </c>
      <c r="E99" s="42" t="s">
        <v>17</v>
      </c>
      <c r="F99" s="42" t="s">
        <v>18</v>
      </c>
      <c r="G99" s="42" t="s">
        <v>19</v>
      </c>
      <c r="H99" s="42" t="s">
        <v>20</v>
      </c>
    </row>
    <row r="100" spans="3:8" x14ac:dyDescent="0.25">
      <c r="C100" s="43"/>
      <c r="D100" s="44">
        <v>0</v>
      </c>
      <c r="E100" s="44">
        <v>0</v>
      </c>
      <c r="F100" s="44"/>
      <c r="G100" s="44"/>
      <c r="H100" s="45">
        <f>SUM(D100:G100)</f>
        <v>0</v>
      </c>
    </row>
    <row r="101" spans="3:8" x14ac:dyDescent="0.25">
      <c r="C101" s="46" t="s">
        <v>76</v>
      </c>
      <c r="D101" s="47">
        <f>SUM(D100:D100)</f>
        <v>0</v>
      </c>
      <c r="E101" s="47">
        <f>SUM(E100:E100)</f>
        <v>0</v>
      </c>
      <c r="F101" s="47">
        <f>SUM(F100:F100)</f>
        <v>0</v>
      </c>
      <c r="G101" s="47"/>
      <c r="H101" s="47">
        <f>SUM(H100:H100)</f>
        <v>0</v>
      </c>
    </row>
    <row r="102" spans="3:8" x14ac:dyDescent="0.25">
      <c r="C102" s="27"/>
      <c r="D102" s="27"/>
      <c r="E102" s="27"/>
      <c r="F102" s="27"/>
      <c r="G102" s="27"/>
      <c r="H102" s="27"/>
    </row>
    <row r="103" spans="3:8" x14ac:dyDescent="0.25">
      <c r="C103" s="27"/>
      <c r="D103" s="27"/>
      <c r="E103" s="27"/>
      <c r="F103" s="27"/>
      <c r="G103" s="27"/>
      <c r="H103" s="27"/>
    </row>
    <row r="104" spans="3:8" x14ac:dyDescent="0.25">
      <c r="C104" s="41" t="s">
        <v>77</v>
      </c>
      <c r="D104" s="41" t="s">
        <v>16</v>
      </c>
      <c r="E104" s="42" t="s">
        <v>17</v>
      </c>
      <c r="F104" s="42" t="s">
        <v>18</v>
      </c>
      <c r="G104" s="42" t="s">
        <v>19</v>
      </c>
      <c r="H104" s="42" t="s">
        <v>20</v>
      </c>
    </row>
    <row r="105" spans="3:8" x14ac:dyDescent="0.25">
      <c r="C105" s="43"/>
      <c r="D105" s="44">
        <v>0</v>
      </c>
      <c r="E105" s="44">
        <v>0</v>
      </c>
      <c r="F105" s="44"/>
      <c r="G105" s="44"/>
      <c r="H105" s="45">
        <f>SUM(D105:G105)</f>
        <v>0</v>
      </c>
    </row>
    <row r="106" spans="3:8" x14ac:dyDescent="0.25">
      <c r="C106" s="46" t="s">
        <v>78</v>
      </c>
      <c r="D106" s="47">
        <f>SUM(D105:D105)</f>
        <v>0</v>
      </c>
      <c r="E106" s="47">
        <f>SUM(E105:E105)</f>
        <v>0</v>
      </c>
      <c r="F106" s="47">
        <f>SUM(F105:F105)</f>
        <v>0</v>
      </c>
      <c r="G106" s="47"/>
      <c r="H106" s="47">
        <f>SUM(H105:H105)</f>
        <v>0</v>
      </c>
    </row>
    <row r="107" spans="3:8" x14ac:dyDescent="0.25">
      <c r="C107" s="27"/>
      <c r="D107" s="27"/>
      <c r="E107" s="27"/>
      <c r="F107" s="27"/>
      <c r="G107" s="27"/>
      <c r="H107" s="27"/>
    </row>
    <row r="108" spans="3:8" x14ac:dyDescent="0.25">
      <c r="C108" s="27"/>
      <c r="D108" s="27"/>
      <c r="E108" s="27"/>
      <c r="F108" s="27"/>
      <c r="G108" s="27"/>
      <c r="H108" s="27"/>
    </row>
    <row r="109" spans="3:8" x14ac:dyDescent="0.25">
      <c r="C109" s="41" t="s">
        <v>79</v>
      </c>
      <c r="D109" s="41" t="s">
        <v>16</v>
      </c>
      <c r="E109" s="41" t="s">
        <v>17</v>
      </c>
      <c r="F109" s="41" t="s">
        <v>18</v>
      </c>
      <c r="G109" s="41" t="s">
        <v>19</v>
      </c>
      <c r="H109" s="41" t="s">
        <v>20</v>
      </c>
    </row>
    <row r="110" spans="3:8" x14ac:dyDescent="0.25">
      <c r="C110" s="44"/>
      <c r="D110" s="44">
        <v>0</v>
      </c>
      <c r="E110" s="44">
        <v>0</v>
      </c>
      <c r="F110" s="44"/>
      <c r="G110" s="44"/>
      <c r="H110" s="44">
        <f>SUM(D110:G110)</f>
        <v>0</v>
      </c>
    </row>
    <row r="111" spans="3:8" x14ac:dyDescent="0.25">
      <c r="C111" s="41" t="s">
        <v>80</v>
      </c>
      <c r="D111" s="73">
        <f>SUM(D110:D110)</f>
        <v>0</v>
      </c>
      <c r="E111" s="73">
        <f>SUM(E110:E110)</f>
        <v>0</v>
      </c>
      <c r="F111" s="73">
        <f>SUM(F110:F110)</f>
        <v>0</v>
      </c>
      <c r="G111" s="73"/>
      <c r="H111" s="73">
        <f>SUM(H110:H110)</f>
        <v>0</v>
      </c>
    </row>
    <row r="112" spans="3:8" x14ac:dyDescent="0.25">
      <c r="C112" s="33"/>
      <c r="D112" s="33"/>
      <c r="E112" s="33"/>
      <c r="F112" s="33"/>
      <c r="G112" s="33"/>
      <c r="H112" s="33"/>
    </row>
    <row r="113" spans="3:8" x14ac:dyDescent="0.25">
      <c r="C113" s="27"/>
      <c r="D113" s="27"/>
      <c r="E113" s="27"/>
      <c r="F113" s="27"/>
      <c r="G113" s="27"/>
      <c r="H113" s="27"/>
    </row>
    <row r="114" spans="3:8" x14ac:dyDescent="0.25">
      <c r="C114" s="41" t="s">
        <v>81</v>
      </c>
      <c r="D114" s="41" t="s">
        <v>16</v>
      </c>
      <c r="E114" s="42" t="s">
        <v>17</v>
      </c>
      <c r="F114" s="42" t="s">
        <v>18</v>
      </c>
      <c r="G114" s="42" t="s">
        <v>19</v>
      </c>
      <c r="H114" s="42" t="s">
        <v>20</v>
      </c>
    </row>
    <row r="115" spans="3:8" x14ac:dyDescent="0.25">
      <c r="C115" s="43"/>
      <c r="D115" s="44">
        <v>0</v>
      </c>
      <c r="E115" s="44">
        <v>0</v>
      </c>
      <c r="F115" s="44"/>
      <c r="G115" s="44"/>
      <c r="H115" s="45">
        <f>SUM(D115:G115)</f>
        <v>0</v>
      </c>
    </row>
    <row r="116" spans="3:8" x14ac:dyDescent="0.25">
      <c r="C116" s="43"/>
      <c r="D116" s="44">
        <v>0</v>
      </c>
      <c r="E116" s="44">
        <f>D116*0.09</f>
        <v>0</v>
      </c>
      <c r="F116" s="44">
        <f>D116*0.09</f>
        <v>0</v>
      </c>
      <c r="G116" s="44"/>
      <c r="H116" s="45">
        <f>SUM(D116:F116)</f>
        <v>0</v>
      </c>
    </row>
    <row r="117" spans="3:8" x14ac:dyDescent="0.25">
      <c r="C117" s="46" t="s">
        <v>82</v>
      </c>
      <c r="D117" s="47">
        <f>SUM(D115:D116)</f>
        <v>0</v>
      </c>
      <c r="E117" s="47">
        <f>SUM(E115:E116)</f>
        <v>0</v>
      </c>
      <c r="F117" s="47">
        <f>SUM(F115:F116)</f>
        <v>0</v>
      </c>
      <c r="G117" s="47"/>
      <c r="H117" s="47">
        <f>SUM(H115:H116)</f>
        <v>0</v>
      </c>
    </row>
    <row r="118" spans="3:8" x14ac:dyDescent="0.25">
      <c r="C118" s="27"/>
      <c r="D118" s="27"/>
      <c r="E118" s="27"/>
      <c r="F118" s="27"/>
      <c r="G118" s="27"/>
      <c r="H118" s="27"/>
    </row>
    <row r="119" spans="3:8" x14ac:dyDescent="0.25">
      <c r="C119" s="27"/>
      <c r="D119" s="27"/>
      <c r="E119" s="27"/>
      <c r="F119" s="27"/>
      <c r="G119" s="27"/>
      <c r="H119" s="27"/>
    </row>
    <row r="120" spans="3:8" x14ac:dyDescent="0.25">
      <c r="C120" s="41" t="s">
        <v>83</v>
      </c>
      <c r="D120" s="41" t="s">
        <v>16</v>
      </c>
      <c r="E120" s="42" t="s">
        <v>17</v>
      </c>
      <c r="F120" s="42" t="s">
        <v>18</v>
      </c>
      <c r="G120" s="42" t="s">
        <v>19</v>
      </c>
      <c r="H120" s="42" t="s">
        <v>20</v>
      </c>
    </row>
    <row r="121" spans="3:8" x14ac:dyDescent="0.25">
      <c r="C121" s="44"/>
      <c r="D121" s="44">
        <v>0</v>
      </c>
      <c r="E121" s="44">
        <v>0</v>
      </c>
      <c r="F121" s="44"/>
      <c r="G121" s="44"/>
      <c r="H121" s="45">
        <f>SUM(D121:G121)</f>
        <v>0</v>
      </c>
    </row>
    <row r="122" spans="3:8" x14ac:dyDescent="0.25">
      <c r="C122" s="46" t="s">
        <v>84</v>
      </c>
      <c r="D122" s="47">
        <f>SUM(D121:D121)</f>
        <v>0</v>
      </c>
      <c r="E122" s="47">
        <f>SUM(E121:E121)</f>
        <v>0</v>
      </c>
      <c r="F122" s="47">
        <f>SUM(F121:F121)</f>
        <v>0</v>
      </c>
      <c r="G122" s="47"/>
      <c r="H122" s="47">
        <f>SUM(H121:H121)</f>
        <v>0</v>
      </c>
    </row>
    <row r="123" spans="3:8" x14ac:dyDescent="0.25">
      <c r="C123" s="27"/>
      <c r="D123" s="27"/>
      <c r="E123" s="27"/>
      <c r="F123" s="27"/>
      <c r="G123" s="27"/>
      <c r="H123" s="27"/>
    </row>
    <row r="124" spans="3:8" x14ac:dyDescent="0.25">
      <c r="C124" s="27"/>
      <c r="D124" s="27"/>
      <c r="E124" s="27"/>
      <c r="F124" s="27"/>
      <c r="G124" s="27"/>
      <c r="H124" s="27"/>
    </row>
    <row r="125" spans="3:8" x14ac:dyDescent="0.25">
      <c r="C125" s="58" t="s">
        <v>85</v>
      </c>
      <c r="D125" s="41" t="s">
        <v>16</v>
      </c>
      <c r="E125" s="42" t="s">
        <v>43</v>
      </c>
      <c r="F125" s="42" t="s">
        <v>42</v>
      </c>
      <c r="G125" s="42" t="s">
        <v>19</v>
      </c>
      <c r="H125" s="42" t="s">
        <v>20</v>
      </c>
    </row>
    <row r="126" spans="3:8" x14ac:dyDescent="0.25">
      <c r="C126" s="74"/>
      <c r="D126" s="44"/>
      <c r="E126" s="44">
        <f>D126*9%</f>
        <v>0</v>
      </c>
      <c r="F126" s="44">
        <f>D126*9%</f>
        <v>0</v>
      </c>
      <c r="G126" s="44"/>
      <c r="H126" s="45">
        <f>SUM(D126:G126)</f>
        <v>0</v>
      </c>
    </row>
    <row r="127" spans="3:8" x14ac:dyDescent="0.25">
      <c r="C127" s="75" t="s">
        <v>123</v>
      </c>
      <c r="D127" s="44">
        <v>36736.873</v>
      </c>
      <c r="E127" s="44">
        <f>D127*0.09</f>
        <v>3306.3185699999999</v>
      </c>
      <c r="F127" s="44">
        <f>D127*0.09</f>
        <v>3306.3185699999999</v>
      </c>
      <c r="G127" s="44"/>
      <c r="H127" s="45">
        <f>SUM(D127:F127)</f>
        <v>43349.510140000006</v>
      </c>
    </row>
    <row r="128" spans="3:8" x14ac:dyDescent="0.25">
      <c r="C128" s="75" t="s">
        <v>134</v>
      </c>
      <c r="D128" s="44">
        <v>74101.790999999997</v>
      </c>
      <c r="E128" s="44">
        <f>D128*0.09</f>
        <v>6669.1611899999998</v>
      </c>
      <c r="F128" s="44">
        <f>D128*0.09</f>
        <v>6669.1611899999998</v>
      </c>
      <c r="G128" s="44"/>
      <c r="H128" s="45">
        <f>SUM(D128:F128)</f>
        <v>87440.113379999995</v>
      </c>
    </row>
    <row r="129" spans="3:8" x14ac:dyDescent="0.25">
      <c r="C129" s="75" t="s">
        <v>142</v>
      </c>
      <c r="D129" s="71">
        <v>435682.06199999998</v>
      </c>
      <c r="E129" s="44">
        <f>D129*0.09</f>
        <v>39211.385579999995</v>
      </c>
      <c r="F129" s="44">
        <f>D129*0.09</f>
        <v>39211.385579999995</v>
      </c>
      <c r="G129" s="44"/>
      <c r="H129" s="45">
        <f>SUM(D129:F129)</f>
        <v>514104.83315999998</v>
      </c>
    </row>
    <row r="130" spans="3:8" x14ac:dyDescent="0.25">
      <c r="C130" s="46" t="s">
        <v>86</v>
      </c>
      <c r="D130" s="47">
        <f>SUM(D126:D129)</f>
        <v>546520.72600000002</v>
      </c>
      <c r="E130" s="47">
        <f>SUM(E126:E129)</f>
        <v>49186.865339999997</v>
      </c>
      <c r="F130" s="47">
        <f>SUM(F126:F129)</f>
        <v>49186.865339999997</v>
      </c>
      <c r="G130" s="47"/>
      <c r="H130" s="47">
        <f>SUM(H126:H129)</f>
        <v>644894.45667999994</v>
      </c>
    </row>
    <row r="131" spans="3:8" x14ac:dyDescent="0.25">
      <c r="C131" s="27"/>
      <c r="D131" s="27"/>
      <c r="E131" s="27"/>
      <c r="F131" s="27"/>
      <c r="G131" s="27"/>
      <c r="H131" s="27"/>
    </row>
    <row r="132" spans="3:8" x14ac:dyDescent="0.25">
      <c r="C132" s="27"/>
      <c r="D132" s="27"/>
      <c r="E132" s="27"/>
      <c r="F132" s="27"/>
      <c r="G132" s="27"/>
      <c r="H132" s="27"/>
    </row>
    <row r="133" spans="3:8" x14ac:dyDescent="0.25">
      <c r="C133" s="58" t="s">
        <v>87</v>
      </c>
      <c r="D133" s="41" t="s">
        <v>16</v>
      </c>
      <c r="E133" s="42" t="s">
        <v>43</v>
      </c>
      <c r="F133" s="42" t="s">
        <v>42</v>
      </c>
      <c r="G133" s="42" t="s">
        <v>19</v>
      </c>
      <c r="H133" s="42" t="s">
        <v>20</v>
      </c>
    </row>
    <row r="134" spans="3:8" x14ac:dyDescent="0.25">
      <c r="C134" s="74"/>
      <c r="D134" s="44"/>
      <c r="E134" s="44"/>
      <c r="F134" s="44"/>
      <c r="G134" s="44"/>
      <c r="H134" s="45"/>
    </row>
    <row r="135" spans="3:8" x14ac:dyDescent="0.25">
      <c r="C135" s="75" t="s">
        <v>135</v>
      </c>
      <c r="D135" s="44">
        <v>5156251.9060000004</v>
      </c>
      <c r="E135" s="44">
        <f>D135*0.09</f>
        <v>464062.67154000001</v>
      </c>
      <c r="F135" s="44">
        <f>D135*0.09</f>
        <v>464062.67154000001</v>
      </c>
      <c r="G135" s="44"/>
      <c r="H135" s="45">
        <f>SUM(D135:F135)</f>
        <v>6084377.2490800004</v>
      </c>
    </row>
    <row r="136" spans="3:8" x14ac:dyDescent="0.25">
      <c r="C136" s="75" t="s">
        <v>142</v>
      </c>
      <c r="D136" s="76">
        <v>5181863.8100000033</v>
      </c>
      <c r="E136" s="44">
        <f>D136*0.09</f>
        <v>466367.7429000003</v>
      </c>
      <c r="F136" s="44">
        <f>D136*0.09</f>
        <v>466367.7429000003</v>
      </c>
      <c r="G136" s="44"/>
      <c r="H136" s="45">
        <f>SUM(D136:F136)</f>
        <v>6114599.2958000032</v>
      </c>
    </row>
    <row r="137" spans="3:8" x14ac:dyDescent="0.25">
      <c r="C137" s="46" t="s">
        <v>88</v>
      </c>
      <c r="D137" s="47">
        <f>SUM(D134:D136)</f>
        <v>10338115.716000004</v>
      </c>
      <c r="E137" s="47">
        <f>SUM(E134:E136)</f>
        <v>930430.41444000031</v>
      </c>
      <c r="F137" s="47">
        <f>SUM(F134:F136)</f>
        <v>930430.41444000031</v>
      </c>
      <c r="G137" s="47"/>
      <c r="H137" s="47">
        <f>SUM(H134:H136)</f>
        <v>12198976.544880003</v>
      </c>
    </row>
    <row r="138" spans="3:8" x14ac:dyDescent="0.25">
      <c r="C138" s="27"/>
      <c r="D138" s="27"/>
      <c r="E138" s="27"/>
      <c r="F138" s="27"/>
      <c r="G138" s="27"/>
      <c r="H138" s="27"/>
    </row>
    <row r="139" spans="3:8" x14ac:dyDescent="0.25">
      <c r="C139" s="27"/>
      <c r="D139" s="27"/>
      <c r="E139" s="27"/>
      <c r="F139" s="27"/>
      <c r="G139" s="27"/>
      <c r="H139" s="27"/>
    </row>
    <row r="140" spans="3:8" x14ac:dyDescent="0.25">
      <c r="C140" s="41" t="s">
        <v>89</v>
      </c>
      <c r="D140" s="41" t="s">
        <v>16</v>
      </c>
      <c r="E140" s="42" t="s">
        <v>17</v>
      </c>
      <c r="F140" s="42" t="s">
        <v>18</v>
      </c>
      <c r="G140" s="42" t="s">
        <v>19</v>
      </c>
      <c r="H140" s="42" t="s">
        <v>20</v>
      </c>
    </row>
    <row r="141" spans="3:8" x14ac:dyDescent="0.25">
      <c r="C141" s="74"/>
      <c r="D141" s="44">
        <v>0</v>
      </c>
      <c r="E141" s="44">
        <f>D141*9%</f>
        <v>0</v>
      </c>
      <c r="F141" s="44">
        <f>D141*9%</f>
        <v>0</v>
      </c>
      <c r="G141" s="44"/>
      <c r="H141" s="45">
        <f>SUM(D141:G141)</f>
        <v>0</v>
      </c>
    </row>
    <row r="142" spans="3:8" x14ac:dyDescent="0.25">
      <c r="C142" s="46" t="s">
        <v>90</v>
      </c>
      <c r="D142" s="47">
        <f>SUM(D141:D141)</f>
        <v>0</v>
      </c>
      <c r="E142" s="47">
        <f>SUM(E141:E141)</f>
        <v>0</v>
      </c>
      <c r="F142" s="47">
        <f>SUM(F141:F141)</f>
        <v>0</v>
      </c>
      <c r="G142" s="47"/>
      <c r="H142" s="47">
        <f>SUM(H141:H141)</f>
        <v>0</v>
      </c>
    </row>
    <row r="143" spans="3:8" x14ac:dyDescent="0.25">
      <c r="C143" s="27"/>
      <c r="D143" s="27"/>
      <c r="E143" s="27"/>
      <c r="F143" s="27"/>
      <c r="G143" s="27"/>
      <c r="H143" s="27"/>
    </row>
    <row r="144" spans="3:8" x14ac:dyDescent="0.25">
      <c r="C144" s="27"/>
      <c r="D144" s="27"/>
      <c r="E144" s="27"/>
      <c r="F144" s="27"/>
      <c r="G144" s="27"/>
      <c r="H144" s="27"/>
    </row>
    <row r="145" spans="3:8" x14ac:dyDescent="0.25">
      <c r="C145" s="41" t="s">
        <v>91</v>
      </c>
      <c r="D145" s="41" t="s">
        <v>16</v>
      </c>
      <c r="E145" s="42" t="s">
        <v>43</v>
      </c>
      <c r="F145" s="42" t="s">
        <v>42</v>
      </c>
      <c r="G145" s="42" t="s">
        <v>19</v>
      </c>
      <c r="H145" s="42" t="s">
        <v>20</v>
      </c>
    </row>
    <row r="146" spans="3:8" x14ac:dyDescent="0.25">
      <c r="C146" s="44"/>
      <c r="D146" s="44"/>
      <c r="E146" s="44"/>
      <c r="F146" s="100"/>
      <c r="G146" s="44"/>
      <c r="H146" s="45"/>
    </row>
    <row r="147" spans="3:8" x14ac:dyDescent="0.25">
      <c r="C147" s="46" t="s">
        <v>92</v>
      </c>
      <c r="D147" s="47">
        <f>SUM(D146:D146)</f>
        <v>0</v>
      </c>
      <c r="E147" s="47">
        <f>SUM(E146:E146)</f>
        <v>0</v>
      </c>
      <c r="F147" s="47">
        <f>SUM(F146:F146)</f>
        <v>0</v>
      </c>
      <c r="G147" s="47"/>
      <c r="H147" s="47">
        <f>SUM(H146:H146)</f>
        <v>0</v>
      </c>
    </row>
    <row r="148" spans="3:8" x14ac:dyDescent="0.25">
      <c r="C148" s="27"/>
      <c r="D148" s="27"/>
      <c r="E148" s="27"/>
      <c r="F148" s="27"/>
      <c r="G148" s="27"/>
      <c r="H148" s="27"/>
    </row>
    <row r="149" spans="3:8" x14ac:dyDescent="0.25">
      <c r="C149" s="27"/>
      <c r="D149" s="27"/>
      <c r="E149" s="27"/>
      <c r="F149" s="27"/>
      <c r="G149" s="27"/>
      <c r="H149" s="27"/>
    </row>
    <row r="150" spans="3:8" x14ac:dyDescent="0.25">
      <c r="C150" s="41" t="s">
        <v>93</v>
      </c>
      <c r="D150" s="41" t="s">
        <v>16</v>
      </c>
      <c r="E150" s="42" t="s">
        <v>17</v>
      </c>
      <c r="F150" s="42" t="s">
        <v>18</v>
      </c>
      <c r="G150" s="42" t="s">
        <v>19</v>
      </c>
      <c r="H150" s="42" t="s">
        <v>20</v>
      </c>
    </row>
    <row r="151" spans="3:8" x14ac:dyDescent="0.25">
      <c r="C151" s="43"/>
      <c r="D151" s="44">
        <v>0</v>
      </c>
      <c r="E151" s="44">
        <v>0</v>
      </c>
      <c r="F151" s="44"/>
      <c r="G151" s="44"/>
      <c r="H151" s="45">
        <f>SUM(D151:G151)</f>
        <v>0</v>
      </c>
    </row>
    <row r="152" spans="3:8" x14ac:dyDescent="0.25">
      <c r="C152" s="46" t="s">
        <v>94</v>
      </c>
      <c r="D152" s="47">
        <f>SUM(D151:D151)</f>
        <v>0</v>
      </c>
      <c r="E152" s="47">
        <f>SUM(E151:E151)</f>
        <v>0</v>
      </c>
      <c r="F152" s="47">
        <f>SUM(F151:F151)</f>
        <v>0</v>
      </c>
      <c r="G152" s="47"/>
      <c r="H152" s="47">
        <f>SUM(H151:H151)</f>
        <v>0</v>
      </c>
    </row>
    <row r="153" spans="3:8" x14ac:dyDescent="0.25">
      <c r="C153" s="27"/>
      <c r="D153" s="27"/>
      <c r="E153" s="27"/>
      <c r="F153" s="27"/>
      <c r="G153" s="27"/>
      <c r="H153" s="27"/>
    </row>
    <row r="154" spans="3:8" x14ac:dyDescent="0.25">
      <c r="C154" s="27"/>
      <c r="D154" s="27"/>
      <c r="E154" s="27"/>
      <c r="F154" s="27"/>
      <c r="G154" s="27"/>
      <c r="H154" s="27"/>
    </row>
    <row r="155" spans="3:8" x14ac:dyDescent="0.25">
      <c r="C155" s="41" t="s">
        <v>95</v>
      </c>
      <c r="D155" s="41" t="s">
        <v>16</v>
      </c>
      <c r="E155" s="42" t="s">
        <v>17</v>
      </c>
      <c r="F155" s="42" t="s">
        <v>18</v>
      </c>
      <c r="G155" s="42" t="s">
        <v>19</v>
      </c>
      <c r="H155" s="42" t="s">
        <v>20</v>
      </c>
    </row>
    <row r="156" spans="3:8" x14ac:dyDescent="0.25">
      <c r="C156" s="43"/>
      <c r="D156" s="44">
        <v>0</v>
      </c>
      <c r="E156" s="44">
        <v>0</v>
      </c>
      <c r="F156" s="44"/>
      <c r="G156" s="44"/>
      <c r="H156" s="45">
        <f>SUM(D156:G156)</f>
        <v>0</v>
      </c>
    </row>
    <row r="157" spans="3:8" x14ac:dyDescent="0.25">
      <c r="C157" s="46" t="s">
        <v>96</v>
      </c>
      <c r="D157" s="47">
        <f>SUM(D156:D156)</f>
        <v>0</v>
      </c>
      <c r="E157" s="47">
        <f>SUM(E156:E156)</f>
        <v>0</v>
      </c>
      <c r="F157" s="47">
        <f>SUM(F156:F156)</f>
        <v>0</v>
      </c>
      <c r="G157" s="47"/>
      <c r="H157" s="47">
        <f>SUM(H156:H156)</f>
        <v>0</v>
      </c>
    </row>
    <row r="158" spans="3:8" x14ac:dyDescent="0.25">
      <c r="C158" s="27"/>
      <c r="D158" s="27"/>
      <c r="E158" s="27"/>
      <c r="F158" s="27"/>
      <c r="G158" s="27"/>
      <c r="H158" s="27"/>
    </row>
    <row r="159" spans="3:8" x14ac:dyDescent="0.25">
      <c r="C159" s="27"/>
      <c r="D159" s="27"/>
      <c r="E159" s="27"/>
      <c r="F159" s="27"/>
      <c r="G159" s="27"/>
      <c r="H159" s="27"/>
    </row>
    <row r="160" spans="3:8" x14ac:dyDescent="0.25">
      <c r="C160" s="58" t="s">
        <v>97</v>
      </c>
      <c r="D160" s="41" t="s">
        <v>16</v>
      </c>
      <c r="E160" s="42" t="s">
        <v>43</v>
      </c>
      <c r="F160" s="42" t="s">
        <v>42</v>
      </c>
      <c r="G160" s="42" t="s">
        <v>19</v>
      </c>
      <c r="H160" s="42" t="s">
        <v>20</v>
      </c>
    </row>
    <row r="161" spans="3:8" x14ac:dyDescent="0.25">
      <c r="C161" s="43"/>
      <c r="D161" s="44"/>
      <c r="E161" s="44"/>
      <c r="F161" s="44"/>
      <c r="G161" s="44"/>
      <c r="H161" s="45"/>
    </row>
    <row r="162" spans="3:8" x14ac:dyDescent="0.25">
      <c r="C162" s="80" t="s">
        <v>117</v>
      </c>
      <c r="D162" s="44">
        <v>626127.79</v>
      </c>
      <c r="E162" s="44">
        <f>D162*0.09</f>
        <v>56351.501100000001</v>
      </c>
      <c r="F162" s="44">
        <f>D162*0.09</f>
        <v>56351.501100000001</v>
      </c>
      <c r="G162" s="44"/>
      <c r="H162" s="45">
        <f>SUM(D162:F162)</f>
        <v>738830.79220000003</v>
      </c>
    </row>
    <row r="163" spans="3:8" x14ac:dyDescent="0.25">
      <c r="C163" s="80" t="s">
        <v>125</v>
      </c>
      <c r="D163" s="44">
        <v>1035094.8</v>
      </c>
      <c r="E163" s="44">
        <f>D163*0.09</f>
        <v>93158.532000000007</v>
      </c>
      <c r="F163" s="44">
        <f>D163*0.09</f>
        <v>93158.532000000007</v>
      </c>
      <c r="G163" s="44"/>
      <c r="H163" s="45">
        <f>SUM(D163:F163)</f>
        <v>1221411.8640000001</v>
      </c>
    </row>
    <row r="164" spans="3:8" x14ac:dyDescent="0.25">
      <c r="C164" s="80" t="s">
        <v>144</v>
      </c>
      <c r="D164" s="44">
        <v>1379752.22</v>
      </c>
      <c r="E164" s="44">
        <f>D164*0.09</f>
        <v>124177.69979999999</v>
      </c>
      <c r="F164" s="44">
        <f>D164*0.09</f>
        <v>124177.69979999999</v>
      </c>
      <c r="G164" s="44"/>
      <c r="H164" s="45">
        <f>SUM(D164:F164)</f>
        <v>1628107.6196000001</v>
      </c>
    </row>
    <row r="165" spans="3:8" x14ac:dyDescent="0.25">
      <c r="C165" s="46" t="s">
        <v>98</v>
      </c>
      <c r="D165" s="47">
        <f>SUM(D161:D164)</f>
        <v>3040974.81</v>
      </c>
      <c r="E165" s="47">
        <f>SUM(E161:E164)</f>
        <v>273687.7329</v>
      </c>
      <c r="F165" s="47">
        <f>SUM(F161:F164)</f>
        <v>273687.7329</v>
      </c>
      <c r="G165" s="47"/>
      <c r="H165" s="47">
        <f>SUM(H161:H164)</f>
        <v>3588350.2757999999</v>
      </c>
    </row>
    <row r="166" spans="3:8" x14ac:dyDescent="0.25">
      <c r="C166" s="27"/>
      <c r="D166" s="27"/>
      <c r="E166" s="27"/>
      <c r="F166" s="27"/>
      <c r="G166" s="27"/>
      <c r="H166" s="27"/>
    </row>
    <row r="167" spans="3:8" x14ac:dyDescent="0.25">
      <c r="C167" s="27"/>
      <c r="D167" s="27"/>
      <c r="E167" s="27"/>
      <c r="F167" s="27"/>
      <c r="G167" s="27"/>
      <c r="H167" s="27"/>
    </row>
    <row r="168" spans="3:8" x14ac:dyDescent="0.25">
      <c r="C168" s="58" t="s">
        <v>99</v>
      </c>
      <c r="D168" s="41" t="s">
        <v>16</v>
      </c>
      <c r="E168" s="42" t="s">
        <v>43</v>
      </c>
      <c r="F168" s="42" t="s">
        <v>42</v>
      </c>
      <c r="G168" s="42" t="s">
        <v>19</v>
      </c>
      <c r="H168" s="42" t="s">
        <v>20</v>
      </c>
    </row>
    <row r="169" spans="3:8" x14ac:dyDescent="0.25">
      <c r="C169" s="43"/>
      <c r="D169" s="44"/>
      <c r="E169" s="44"/>
      <c r="F169" s="44"/>
      <c r="G169" s="44"/>
      <c r="H169" s="45"/>
    </row>
    <row r="170" spans="3:8" x14ac:dyDescent="0.25">
      <c r="C170" s="43" t="s">
        <v>126</v>
      </c>
      <c r="D170" s="44">
        <v>69296.92</v>
      </c>
      <c r="E170" s="44">
        <f>D170*0.09</f>
        <v>6236.7227999999996</v>
      </c>
      <c r="F170" s="44">
        <f>D170*0.09</f>
        <v>6236.7227999999996</v>
      </c>
      <c r="G170" s="44"/>
      <c r="H170" s="45">
        <f>SUM(D170:F170)</f>
        <v>81770.365600000005</v>
      </c>
    </row>
    <row r="171" spans="3:8" x14ac:dyDescent="0.25">
      <c r="C171" s="43"/>
      <c r="D171" s="44"/>
      <c r="E171" s="44"/>
      <c r="F171" s="44"/>
      <c r="G171" s="44"/>
      <c r="H171" s="45"/>
    </row>
    <row r="172" spans="3:8" x14ac:dyDescent="0.25">
      <c r="C172" s="46" t="s">
        <v>100</v>
      </c>
      <c r="D172" s="47">
        <f>SUM(D169:D171)</f>
        <v>69296.92</v>
      </c>
      <c r="E172" s="47">
        <f>SUM(E169:E171)</f>
        <v>6236.7227999999996</v>
      </c>
      <c r="F172" s="47">
        <f>SUM(F169:F171)</f>
        <v>6236.7227999999996</v>
      </c>
      <c r="G172" s="47"/>
      <c r="H172" s="47">
        <f>SUM(H169:H171)</f>
        <v>81770.365600000005</v>
      </c>
    </row>
    <row r="173" spans="3:8" x14ac:dyDescent="0.25">
      <c r="C173" s="27"/>
      <c r="D173" s="27"/>
      <c r="E173" s="27"/>
      <c r="F173" s="27"/>
      <c r="G173" s="27"/>
      <c r="H173" s="27"/>
    </row>
    <row r="174" spans="3:8" x14ac:dyDescent="0.25">
      <c r="C174" s="27"/>
      <c r="D174" s="27"/>
      <c r="E174" s="27"/>
      <c r="F174" s="27"/>
      <c r="G174" s="27"/>
      <c r="H174" s="27"/>
    </row>
    <row r="175" spans="3:8" x14ac:dyDescent="0.25">
      <c r="C175" s="41" t="s">
        <v>101</v>
      </c>
      <c r="D175" s="41" t="s">
        <v>16</v>
      </c>
      <c r="E175" s="42" t="s">
        <v>43</v>
      </c>
      <c r="F175" s="42" t="s">
        <v>42</v>
      </c>
      <c r="G175" s="42" t="s">
        <v>19</v>
      </c>
      <c r="H175" s="42" t="s">
        <v>20</v>
      </c>
    </row>
    <row r="176" spans="3:8" x14ac:dyDescent="0.25">
      <c r="C176" s="43"/>
      <c r="D176" s="44"/>
      <c r="E176" s="44"/>
      <c r="F176" s="44"/>
      <c r="G176" s="44"/>
      <c r="H176" s="45"/>
    </row>
    <row r="177" spans="3:8" x14ac:dyDescent="0.25">
      <c r="C177" s="46" t="s">
        <v>102</v>
      </c>
      <c r="D177" s="47">
        <f>SUM(D176:D176)</f>
        <v>0</v>
      </c>
      <c r="E177" s="47">
        <f>SUM(E176:E176)</f>
        <v>0</v>
      </c>
      <c r="F177" s="47">
        <f>SUM(F176:F176)</f>
        <v>0</v>
      </c>
      <c r="G177" s="47"/>
      <c r="H177" s="47">
        <f>SUM(H176:H176)</f>
        <v>0</v>
      </c>
    </row>
    <row r="178" spans="3:8" x14ac:dyDescent="0.25">
      <c r="C178" s="27"/>
      <c r="D178" s="27"/>
      <c r="E178" s="27"/>
      <c r="F178" s="27"/>
      <c r="G178" s="27"/>
      <c r="H178" s="27"/>
    </row>
    <row r="179" spans="3:8" x14ac:dyDescent="0.25">
      <c r="C179" s="27"/>
      <c r="D179" s="27"/>
      <c r="E179" s="27"/>
      <c r="F179" s="27"/>
      <c r="G179" s="27"/>
      <c r="H179" s="27"/>
    </row>
    <row r="180" spans="3:8" x14ac:dyDescent="0.25">
      <c r="C180" s="58" t="s">
        <v>103</v>
      </c>
      <c r="D180" s="41" t="s">
        <v>16</v>
      </c>
      <c r="E180" s="42" t="s">
        <v>43</v>
      </c>
      <c r="F180" s="42" t="s">
        <v>42</v>
      </c>
      <c r="G180" s="42" t="s">
        <v>19</v>
      </c>
      <c r="H180" s="42" t="s">
        <v>20</v>
      </c>
    </row>
    <row r="181" spans="3:8" x14ac:dyDescent="0.25">
      <c r="C181" s="80"/>
      <c r="D181" s="44"/>
      <c r="E181" s="100"/>
      <c r="F181" s="100"/>
      <c r="G181" s="44"/>
      <c r="H181" s="45"/>
    </row>
    <row r="182" spans="3:8" x14ac:dyDescent="0.25">
      <c r="C182" s="80" t="s">
        <v>148</v>
      </c>
      <c r="D182" s="44">
        <v>625458.9</v>
      </c>
      <c r="E182" s="100">
        <f>D182*0.09</f>
        <v>56291.300999999999</v>
      </c>
      <c r="F182" s="100">
        <f>D182*0.09</f>
        <v>56291.300999999999</v>
      </c>
      <c r="G182" s="44"/>
      <c r="H182" s="45">
        <f>SUM(D182:F182)</f>
        <v>738041.50199999998</v>
      </c>
    </row>
    <row r="183" spans="3:8" x14ac:dyDescent="0.25">
      <c r="C183" s="46" t="s">
        <v>104</v>
      </c>
      <c r="D183" s="47">
        <f>SUM(D181:D182)</f>
        <v>625458.9</v>
      </c>
      <c r="E183" s="47">
        <f>SUM(E181:E182)</f>
        <v>56291.300999999999</v>
      </c>
      <c r="F183" s="47">
        <f>SUM(F181:F182)</f>
        <v>56291.300999999999</v>
      </c>
      <c r="G183" s="47"/>
      <c r="H183" s="47">
        <f>SUM(H181:H182)</f>
        <v>738041.50199999998</v>
      </c>
    </row>
    <row r="184" spans="3:8" x14ac:dyDescent="0.25">
      <c r="C184" s="27"/>
      <c r="D184" s="27"/>
      <c r="E184" s="27"/>
      <c r="F184" s="27"/>
      <c r="G184" s="27"/>
      <c r="H184" s="27"/>
    </row>
    <row r="185" spans="3:8" x14ac:dyDescent="0.25">
      <c r="C185" s="27"/>
      <c r="D185" s="27"/>
      <c r="E185" s="27"/>
      <c r="F185" s="27"/>
      <c r="G185" s="27"/>
      <c r="H185" s="27"/>
    </row>
    <row r="186" spans="3:8" x14ac:dyDescent="0.25">
      <c r="C186" s="58" t="s">
        <v>105</v>
      </c>
      <c r="D186" s="41" t="s">
        <v>16</v>
      </c>
      <c r="E186" s="42" t="s">
        <v>43</v>
      </c>
      <c r="F186" s="42" t="s">
        <v>42</v>
      </c>
      <c r="G186" s="42" t="s">
        <v>19</v>
      </c>
      <c r="H186" s="42" t="s">
        <v>20</v>
      </c>
    </row>
    <row r="187" spans="3:8" x14ac:dyDescent="0.25">
      <c r="C187" s="81" t="s">
        <v>114</v>
      </c>
      <c r="D187" s="44">
        <v>118009.12</v>
      </c>
      <c r="E187" s="100">
        <f>D187*6%</f>
        <v>7080.5471999999991</v>
      </c>
      <c r="F187" s="100">
        <f>D187*6%</f>
        <v>7080.5471999999991</v>
      </c>
      <c r="G187" s="44"/>
      <c r="H187" s="82">
        <f>SUM(D187:G187)</f>
        <v>132170.2144</v>
      </c>
    </row>
    <row r="188" spans="3:8" x14ac:dyDescent="0.25">
      <c r="C188" s="81" t="s">
        <v>147</v>
      </c>
      <c r="D188" s="83">
        <v>797133.94</v>
      </c>
      <c r="E188" s="100">
        <f>D188*0.06</f>
        <v>47828.036399999997</v>
      </c>
      <c r="F188" s="100">
        <f>D188*0.06</f>
        <v>47828.036399999997</v>
      </c>
      <c r="G188" s="44"/>
      <c r="H188" s="82">
        <f>SUM(D188:F188)</f>
        <v>892790.01279999991</v>
      </c>
    </row>
    <row r="189" spans="3:8" x14ac:dyDescent="0.25">
      <c r="C189" s="46" t="s">
        <v>106</v>
      </c>
      <c r="D189" s="47">
        <f>SUM(D187:D188)</f>
        <v>915143.05999999994</v>
      </c>
      <c r="E189" s="47">
        <f>SUM(E187:E188)</f>
        <v>54908.583599999998</v>
      </c>
      <c r="F189" s="47">
        <f>SUM(F187:F188)</f>
        <v>54908.583599999998</v>
      </c>
      <c r="G189" s="47"/>
      <c r="H189" s="47">
        <f>SUM(H187:H188)</f>
        <v>1024960.2271999998</v>
      </c>
    </row>
    <row r="190" spans="3:8" x14ac:dyDescent="0.25">
      <c r="D190" s="20"/>
    </row>
    <row r="191" spans="3:8" x14ac:dyDescent="0.25">
      <c r="D191" s="20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Provision</vt:lpstr>
      <vt:lpstr>Working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2021-01-20T07:43:23Z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fc33b77-d4bc-4b15-a2e9-6ac282c648ad_Enabled">
    <vt:lpwstr>True</vt:lpwstr>
  </property>
  <property fmtid="{D5CDD505-2E9C-101B-9397-08002B2CF9AE}" pid="3" name="MSIP_Label_7fc33b77-d4bc-4b15-a2e9-6ac282c648ad_SiteId">
    <vt:lpwstr>f35425af-4755-4e0c-b1bb-b3cb9f1c6afd</vt:lpwstr>
  </property>
  <property fmtid="{D5CDD505-2E9C-101B-9397-08002B2CF9AE}" pid="4" name="MSIP_Label_7fc33b77-d4bc-4b15-a2e9-6ac282c648ad_Owner">
    <vt:lpwstr>198385@tatasteel.com</vt:lpwstr>
  </property>
  <property fmtid="{D5CDD505-2E9C-101B-9397-08002B2CF9AE}" pid="5" name="MSIP_Label_7fc33b77-d4bc-4b15-a2e9-6ac282c648ad_SetDate">
    <vt:lpwstr>2019-03-29T12:55:24.5438184Z</vt:lpwstr>
  </property>
  <property fmtid="{D5CDD505-2E9C-101B-9397-08002B2CF9AE}" pid="6" name="MSIP_Label_7fc33b77-d4bc-4b15-a2e9-6ac282c648ad_Name">
    <vt:lpwstr>Public</vt:lpwstr>
  </property>
  <property fmtid="{D5CDD505-2E9C-101B-9397-08002B2CF9AE}" pid="7" name="MSIP_Label_7fc33b77-d4bc-4b15-a2e9-6ac282c648ad_Application">
    <vt:lpwstr>Microsoft Azure Information Protection</vt:lpwstr>
  </property>
  <property fmtid="{D5CDD505-2E9C-101B-9397-08002B2CF9AE}" pid="8" name="MSIP_Label_7fc33b77-d4bc-4b15-a2e9-6ac282c648ad_Extended_MSFT_Method">
    <vt:lpwstr>Automatic</vt:lpwstr>
  </property>
  <property fmtid="{D5CDD505-2E9C-101B-9397-08002B2CF9AE}" pid="9" name="Sensitivity">
    <vt:lpwstr>Public</vt:lpwstr>
  </property>
</Properties>
</file>