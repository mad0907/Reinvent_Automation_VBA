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filterPrivacy="1" codeName="ThisWorkbook" defaultThemeVersion="124226"/>
  <xr:revisionPtr revIDLastSave="0" documentId="13_ncr:1_{B207B767-9456-4C84-8500-6DED38F25BC3}" xr6:coauthVersionLast="41" xr6:coauthVersionMax="41" xr10:uidLastSave="{00000000-0000-0000-0000-000000000000}"/>
  <bookViews>
    <workbookView xWindow="9630" yWindow="480" windowWidth="10770" windowHeight="10440" xr2:uid="{00000000-000D-0000-FFFF-FFFF00000000}"/>
  </bookViews>
  <sheets>
    <sheet name="Provision" sheetId="17" r:id="rId1"/>
    <sheet name="Working" sheetId="16" r:id="rId2"/>
    <sheet name="Sheet4" sheetId="19" state="hidden" r:id="rId3"/>
    <sheet name="Sheet2" sheetId="18" state="hidden" r:id="rId4"/>
    <sheet name="2409004" sheetId="2" state="hidden" r:id="rId5"/>
    <sheet name="2406252" sheetId="3" state="hidden" r:id="rId6"/>
    <sheet name="Sheet1" sheetId="12" state="hidden" r:id="rId7"/>
    <sheet name="Sheet3" sheetId="14" state="hidden" r:id="rId8"/>
  </sheets>
  <externalReferences>
    <externalReference r:id="rId9"/>
  </externalReferences>
  <definedNames>
    <definedName name="_xlnm._FilterDatabase" localSheetId="0" hidden="1">Provision!$B$3:$S$83</definedName>
    <definedName name="AS2DocOpenMode" hidden="1">"AS2DocumentEdit"</definedName>
    <definedName name="t" localSheetId="0">#REF!</definedName>
    <definedName name="t" localSheetId="1">#REF!</definedName>
    <definedName name="t">#REF!</definedName>
    <definedName name="TEST1" localSheetId="0">#REF!</definedName>
    <definedName name="TEST1" localSheetId="1">#REF!</definedName>
    <definedName name="TEST1">#REF!</definedName>
    <definedName name="TEST10" localSheetId="0">#REF!</definedName>
    <definedName name="TEST10" localSheetId="1">#REF!</definedName>
    <definedName name="TEST10">#REF!</definedName>
    <definedName name="TEST11" localSheetId="0">#REF!</definedName>
    <definedName name="TEST11" localSheetId="1">#REF!</definedName>
    <definedName name="TEST11">#REF!</definedName>
    <definedName name="TEST12" localSheetId="0">#REF!</definedName>
    <definedName name="TEST12" localSheetId="1">#REF!</definedName>
    <definedName name="TEST12">#REF!</definedName>
    <definedName name="TEST13" localSheetId="0">#REF!</definedName>
    <definedName name="TEST13" localSheetId="1">#REF!</definedName>
    <definedName name="TEST13">#REF!</definedName>
    <definedName name="TEST14" localSheetId="0">#REF!</definedName>
    <definedName name="TEST14" localSheetId="1">#REF!</definedName>
    <definedName name="TEST14">#REF!</definedName>
    <definedName name="TEST15" localSheetId="0">#REF!</definedName>
    <definedName name="TEST15" localSheetId="1">#REF!</definedName>
    <definedName name="TEST15">#REF!</definedName>
    <definedName name="TEST16" localSheetId="0">#REF!</definedName>
    <definedName name="TEST16" localSheetId="1">#REF!</definedName>
    <definedName name="TEST16">#REF!</definedName>
    <definedName name="TEST17" localSheetId="0">#REF!</definedName>
    <definedName name="TEST17" localSheetId="1">#REF!</definedName>
    <definedName name="TEST17">#REF!</definedName>
    <definedName name="TEST18" localSheetId="0">#REF!</definedName>
    <definedName name="TEST18" localSheetId="1">#REF!</definedName>
    <definedName name="TEST18">#REF!</definedName>
    <definedName name="TEST19" localSheetId="0">#REF!</definedName>
    <definedName name="TEST19" localSheetId="1">#REF!</definedName>
    <definedName name="TEST19">#REF!</definedName>
    <definedName name="TEST2" localSheetId="0">#REF!</definedName>
    <definedName name="TEST2" localSheetId="1">#REF!</definedName>
    <definedName name="TEST2">#REF!</definedName>
    <definedName name="TEST3" localSheetId="0">#REF!</definedName>
    <definedName name="TEST3" localSheetId="1">#REF!</definedName>
    <definedName name="TEST3">#REF!</definedName>
    <definedName name="TEST4" localSheetId="0">#REF!</definedName>
    <definedName name="TEST4" localSheetId="1">#REF!</definedName>
    <definedName name="TEST4">#REF!</definedName>
    <definedName name="TEST5" localSheetId="0">#REF!</definedName>
    <definedName name="TEST5" localSheetId="1">#REF!</definedName>
    <definedName name="TEST5">#REF!</definedName>
    <definedName name="TEST6" localSheetId="0">#REF!</definedName>
    <definedName name="TEST6" localSheetId="1">#REF!</definedName>
    <definedName name="TEST6">#REF!</definedName>
    <definedName name="TEST7" localSheetId="0">#REF!</definedName>
    <definedName name="TEST7" localSheetId="1">#REF!</definedName>
    <definedName name="TEST7">#REF!</definedName>
    <definedName name="TEST8" localSheetId="0">#REF!</definedName>
    <definedName name="TEST8" localSheetId="1">#REF!</definedName>
    <definedName name="TEST8">#REF!</definedName>
    <definedName name="TEST9" localSheetId="0">#REF!</definedName>
    <definedName name="TEST9" localSheetId="1">#REF!</definedName>
    <definedName name="TEST9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78" i="17" l="1"/>
  <c r="P77" i="17"/>
  <c r="Q77" i="17" s="1"/>
  <c r="N77" i="17"/>
  <c r="M77" i="17"/>
  <c r="Q76" i="17"/>
  <c r="O76" i="17"/>
  <c r="M76" i="17"/>
  <c r="Q75" i="17"/>
  <c r="O75" i="17"/>
  <c r="M75" i="17"/>
  <c r="Q74" i="17"/>
  <c r="O74" i="17"/>
  <c r="M74" i="17"/>
  <c r="Q73" i="17"/>
  <c r="O73" i="17"/>
  <c r="M73" i="17"/>
  <c r="Q72" i="17"/>
  <c r="O72" i="17"/>
  <c r="M72" i="17"/>
  <c r="Q71" i="17"/>
  <c r="O71" i="17"/>
  <c r="M71" i="17"/>
  <c r="Q70" i="17"/>
  <c r="O70" i="17"/>
  <c r="M70" i="17"/>
  <c r="Q69" i="17"/>
  <c r="O69" i="17"/>
  <c r="M69" i="17"/>
  <c r="Q68" i="17"/>
  <c r="O68" i="17"/>
  <c r="M68" i="17"/>
  <c r="Q67" i="17"/>
  <c r="O67" i="17"/>
  <c r="M67" i="17"/>
  <c r="Q66" i="17"/>
  <c r="O66" i="17"/>
  <c r="M66" i="17"/>
  <c r="Q65" i="17"/>
  <c r="O65" i="17"/>
  <c r="M65" i="17"/>
  <c r="Q64" i="17"/>
  <c r="O64" i="17"/>
  <c r="O77" i="17" s="1"/>
  <c r="M64" i="17"/>
  <c r="Q63" i="17"/>
  <c r="O63" i="17"/>
  <c r="M63" i="17"/>
  <c r="Q62" i="17"/>
  <c r="O62" i="17"/>
  <c r="M62" i="17"/>
  <c r="Q61" i="17"/>
  <c r="O61" i="17"/>
  <c r="M61" i="17"/>
  <c r="P60" i="17"/>
  <c r="P78" i="17" s="1"/>
  <c r="Q78" i="17" s="1"/>
  <c r="N60" i="17"/>
  <c r="N78" i="17" s="1"/>
  <c r="M60" i="17"/>
  <c r="Q55" i="17"/>
  <c r="O55" i="17"/>
  <c r="Q54" i="17"/>
  <c r="O54" i="17"/>
  <c r="M54" i="17"/>
  <c r="Q53" i="17"/>
  <c r="O53" i="17"/>
  <c r="M53" i="17"/>
  <c r="Q52" i="17"/>
  <c r="O52" i="17"/>
  <c r="M52" i="17"/>
  <c r="Q51" i="17"/>
  <c r="O51" i="17"/>
  <c r="M51" i="17"/>
  <c r="Q50" i="17"/>
  <c r="O50" i="17"/>
  <c r="M50" i="17"/>
  <c r="Q49" i="17"/>
  <c r="O49" i="17"/>
  <c r="M49" i="17"/>
  <c r="Q48" i="17"/>
  <c r="O48" i="17"/>
  <c r="M48" i="17"/>
  <c r="Q47" i="17"/>
  <c r="O47" i="17"/>
  <c r="M47" i="17"/>
  <c r="Q46" i="17"/>
  <c r="O46" i="17"/>
  <c r="M46" i="17"/>
  <c r="Q45" i="17"/>
  <c r="O45" i="17"/>
  <c r="M45" i="17"/>
  <c r="Q44" i="17"/>
  <c r="O44" i="17"/>
  <c r="M44" i="17"/>
  <c r="Q43" i="17"/>
  <c r="O43" i="17"/>
  <c r="M43" i="17"/>
  <c r="Q42" i="17"/>
  <c r="O42" i="17"/>
  <c r="M42" i="17"/>
  <c r="Q41" i="17"/>
  <c r="O41" i="17"/>
  <c r="M41" i="17"/>
  <c r="Q40" i="17"/>
  <c r="O40" i="17"/>
  <c r="M40" i="17"/>
  <c r="Q39" i="17"/>
  <c r="O39" i="17"/>
  <c r="M39" i="17"/>
  <c r="Q38" i="17"/>
  <c r="O38" i="17"/>
  <c r="M38" i="17"/>
  <c r="Q37" i="17"/>
  <c r="O37" i="17"/>
  <c r="M37" i="17"/>
  <c r="Q36" i="17"/>
  <c r="O36" i="17"/>
  <c r="M36" i="17"/>
  <c r="Q35" i="17"/>
  <c r="O35" i="17"/>
  <c r="M35" i="17"/>
  <c r="Q34" i="17"/>
  <c r="O34" i="17"/>
  <c r="M34" i="17"/>
  <c r="Q33" i="17"/>
  <c r="O33" i="17"/>
  <c r="M33" i="17"/>
  <c r="Q32" i="17"/>
  <c r="O32" i="17"/>
  <c r="M32" i="17"/>
  <c r="Q31" i="17"/>
  <c r="O31" i="17"/>
  <c r="M31" i="17"/>
  <c r="Q30" i="17"/>
  <c r="O30" i="17"/>
  <c r="M30" i="17"/>
  <c r="Q29" i="17"/>
  <c r="O29" i="17"/>
  <c r="M29" i="17"/>
  <c r="Q28" i="17"/>
  <c r="O28" i="17"/>
  <c r="M28" i="17"/>
  <c r="Q27" i="17"/>
  <c r="O27" i="17"/>
  <c r="M27" i="17"/>
  <c r="Q26" i="17"/>
  <c r="O26" i="17"/>
  <c r="M26" i="17"/>
  <c r="Q25" i="17"/>
  <c r="O25" i="17"/>
  <c r="M25" i="17"/>
  <c r="Q24" i="17"/>
  <c r="O24" i="17"/>
  <c r="M24" i="17"/>
  <c r="Q23" i="17"/>
  <c r="O23" i="17"/>
  <c r="M23" i="17"/>
  <c r="Q22" i="17"/>
  <c r="O22" i="17"/>
  <c r="M22" i="17"/>
  <c r="Q21" i="17"/>
  <c r="O21" i="17"/>
  <c r="M21" i="17"/>
  <c r="Q20" i="17"/>
  <c r="O20" i="17"/>
  <c r="M20" i="17"/>
  <c r="Q19" i="17"/>
  <c r="O19" i="17"/>
  <c r="M19" i="17"/>
  <c r="Q18" i="17"/>
  <c r="O18" i="17"/>
  <c r="M18" i="17"/>
  <c r="Q17" i="17"/>
  <c r="O17" i="17"/>
  <c r="M17" i="17"/>
  <c r="Q16" i="17"/>
  <c r="O16" i="17"/>
  <c r="M16" i="17"/>
  <c r="Q15" i="17"/>
  <c r="O15" i="17"/>
  <c r="M15" i="17"/>
  <c r="Q14" i="17"/>
  <c r="O14" i="17"/>
  <c r="M14" i="17"/>
  <c r="Q13" i="17"/>
  <c r="O13" i="17"/>
  <c r="M13" i="17"/>
  <c r="Q12" i="17"/>
  <c r="O12" i="17"/>
  <c r="M12" i="17"/>
  <c r="Q11" i="17"/>
  <c r="O11" i="17"/>
  <c r="M11" i="17"/>
  <c r="Q10" i="17"/>
  <c r="O10" i="17"/>
  <c r="M10" i="17"/>
  <c r="Q9" i="17"/>
  <c r="O9" i="17"/>
  <c r="M9" i="17"/>
  <c r="Q8" i="17"/>
  <c r="O8" i="17"/>
  <c r="M8" i="17"/>
  <c r="Q7" i="17"/>
  <c r="O7" i="17"/>
  <c r="M7" i="17"/>
  <c r="Q6" i="17"/>
  <c r="O6" i="17"/>
  <c r="M6" i="17"/>
  <c r="Q5" i="17"/>
  <c r="O5" i="17"/>
  <c r="M5" i="17"/>
  <c r="Q4" i="17"/>
  <c r="Q60" i="17" s="1"/>
  <c r="O4" i="17"/>
  <c r="O60" i="17" s="1"/>
  <c r="M4" i="17"/>
  <c r="G555" i="16"/>
  <c r="E555" i="16"/>
  <c r="D555" i="16"/>
  <c r="C555" i="16"/>
  <c r="G554" i="16"/>
  <c r="A2" i="16"/>
  <c r="A1" i="16"/>
  <c r="G446" i="16"/>
  <c r="C446" i="16"/>
  <c r="E445" i="16"/>
  <c r="E446" i="16" s="1"/>
  <c r="D445" i="16"/>
  <c r="D446" i="16" s="1"/>
  <c r="C524" i="16"/>
  <c r="E523" i="16"/>
  <c r="E524" i="16" s="1"/>
  <c r="D523" i="16"/>
  <c r="D524" i="16" s="1"/>
  <c r="G36" i="16"/>
  <c r="E36" i="16"/>
  <c r="D36" i="16"/>
  <c r="C36" i="16"/>
  <c r="G529" i="16"/>
  <c r="C529" i="16"/>
  <c r="E528" i="16"/>
  <c r="E529" i="16" s="1"/>
  <c r="D528" i="16"/>
  <c r="D529" i="16" s="1"/>
  <c r="C543" i="16"/>
  <c r="E541" i="16"/>
  <c r="D541" i="16"/>
  <c r="G540" i="16"/>
  <c r="G539" i="16"/>
  <c r="E538" i="16"/>
  <c r="D538" i="16"/>
  <c r="C519" i="16"/>
  <c r="G518" i="16"/>
  <c r="G519" i="16" s="1"/>
  <c r="E518" i="16"/>
  <c r="E519" i="16" s="1"/>
  <c r="D518" i="16"/>
  <c r="D519" i="16" s="1"/>
  <c r="C374" i="16"/>
  <c r="E373" i="16"/>
  <c r="D373" i="16"/>
  <c r="E372" i="16"/>
  <c r="D372" i="16"/>
  <c r="E385" i="16"/>
  <c r="D385" i="16"/>
  <c r="C385" i="16"/>
  <c r="G384" i="16"/>
  <c r="G383" i="16"/>
  <c r="G382" i="16"/>
  <c r="G381" i="16"/>
  <c r="G380" i="16"/>
  <c r="G379" i="16"/>
  <c r="E368" i="16"/>
  <c r="D368" i="16"/>
  <c r="C368" i="16"/>
  <c r="G367" i="16"/>
  <c r="G366" i="16"/>
  <c r="G365" i="16"/>
  <c r="G364" i="16"/>
  <c r="E350" i="16"/>
  <c r="D350" i="16"/>
  <c r="C350" i="16"/>
  <c r="G349" i="16"/>
  <c r="G348" i="16"/>
  <c r="G347" i="16"/>
  <c r="G346" i="16"/>
  <c r="G345" i="16"/>
  <c r="G344" i="16"/>
  <c r="G343" i="16"/>
  <c r="G342" i="16"/>
  <c r="G341" i="16"/>
  <c r="G340" i="16"/>
  <c r="G339" i="16"/>
  <c r="G337" i="16"/>
  <c r="E333" i="16"/>
  <c r="D333" i="16"/>
  <c r="C333" i="16"/>
  <c r="G332" i="16"/>
  <c r="G331" i="16"/>
  <c r="G330" i="16"/>
  <c r="G329" i="16"/>
  <c r="G328" i="16"/>
  <c r="C323" i="16"/>
  <c r="E321" i="16"/>
  <c r="D321" i="16"/>
  <c r="E320" i="16"/>
  <c r="D320" i="16"/>
  <c r="E319" i="16"/>
  <c r="D319" i="16"/>
  <c r="E318" i="16"/>
  <c r="D318" i="16"/>
  <c r="E317" i="16"/>
  <c r="D317" i="16"/>
  <c r="E316" i="16"/>
  <c r="D316" i="16"/>
  <c r="E315" i="16"/>
  <c r="D315" i="16"/>
  <c r="E314" i="16"/>
  <c r="D314" i="16"/>
  <c r="E313" i="16"/>
  <c r="D313" i="16"/>
  <c r="E312" i="16"/>
  <c r="D312" i="16"/>
  <c r="E311" i="16"/>
  <c r="D311" i="16"/>
  <c r="E310" i="16"/>
  <c r="D310" i="16"/>
  <c r="G309" i="16"/>
  <c r="E304" i="16"/>
  <c r="D304" i="16"/>
  <c r="C304" i="16"/>
  <c r="G303" i="16"/>
  <c r="G302" i="16"/>
  <c r="G301" i="16"/>
  <c r="C405" i="16"/>
  <c r="G404" i="16"/>
  <c r="E403" i="16"/>
  <c r="D403" i="16"/>
  <c r="E402" i="16"/>
  <c r="D402" i="16"/>
  <c r="C398" i="16"/>
  <c r="G397" i="16"/>
  <c r="E396" i="16"/>
  <c r="D396" i="16"/>
  <c r="E395" i="16"/>
  <c r="D395" i="16"/>
  <c r="E8" i="16"/>
  <c r="D8" i="16"/>
  <c r="C8" i="16"/>
  <c r="G7" i="16"/>
  <c r="G8" i="16" s="1"/>
  <c r="E19" i="16"/>
  <c r="D19" i="16"/>
  <c r="C19" i="16"/>
  <c r="G18" i="16"/>
  <c r="G17" i="16"/>
  <c r="G16" i="16"/>
  <c r="G15" i="16"/>
  <c r="G14" i="16"/>
  <c r="G13" i="16"/>
  <c r="E26" i="16"/>
  <c r="D26" i="16"/>
  <c r="C26" i="16"/>
  <c r="G25" i="16"/>
  <c r="G24" i="16"/>
  <c r="G31" i="16"/>
  <c r="E31" i="16"/>
  <c r="D31" i="16"/>
  <c r="C31" i="16"/>
  <c r="G296" i="16"/>
  <c r="E296" i="16"/>
  <c r="D296" i="16"/>
  <c r="C296" i="16"/>
  <c r="C561" i="16"/>
  <c r="G560" i="16"/>
  <c r="E559" i="16"/>
  <c r="E561" i="16" s="1"/>
  <c r="D559" i="16"/>
  <c r="D561" i="16" s="1"/>
  <c r="G41" i="16"/>
  <c r="E41" i="16"/>
  <c r="D41" i="16"/>
  <c r="C41" i="16"/>
  <c r="E359" i="16"/>
  <c r="D359" i="16"/>
  <c r="C359" i="16"/>
  <c r="G358" i="16"/>
  <c r="G357" i="16"/>
  <c r="G356" i="16"/>
  <c r="G355" i="16"/>
  <c r="C549" i="16"/>
  <c r="G548" i="16"/>
  <c r="E547" i="16"/>
  <c r="E549" i="16" s="1"/>
  <c r="D547" i="16"/>
  <c r="E391" i="16"/>
  <c r="D391" i="16"/>
  <c r="C390" i="16"/>
  <c r="G390" i="16" s="1"/>
  <c r="G391" i="16" s="1"/>
  <c r="E425" i="16"/>
  <c r="D425" i="16"/>
  <c r="C425" i="16"/>
  <c r="G424" i="16"/>
  <c r="G423" i="16"/>
  <c r="G422" i="16"/>
  <c r="G421" i="16"/>
  <c r="G420" i="16"/>
  <c r="G534" i="16"/>
  <c r="C534" i="16"/>
  <c r="E533" i="16"/>
  <c r="E534" i="16" s="1"/>
  <c r="D533" i="16"/>
  <c r="D534" i="16" s="1"/>
  <c r="G46" i="16"/>
  <c r="E46" i="16"/>
  <c r="D46" i="16"/>
  <c r="C46" i="16"/>
  <c r="C503" i="16"/>
  <c r="E502" i="16"/>
  <c r="E503" i="16" s="1"/>
  <c r="D502" i="16"/>
  <c r="C514" i="16"/>
  <c r="E513" i="16"/>
  <c r="E514" i="16" s="1"/>
  <c r="D513" i="16"/>
  <c r="C498" i="16"/>
  <c r="G497" i="16"/>
  <c r="E496" i="16"/>
  <c r="E498" i="16" s="1"/>
  <c r="D496" i="16"/>
  <c r="G492" i="16"/>
  <c r="C492" i="16"/>
  <c r="E491" i="16"/>
  <c r="E492" i="16" s="1"/>
  <c r="D491" i="16"/>
  <c r="D492" i="16" s="1"/>
  <c r="G51" i="16"/>
  <c r="E51" i="16"/>
  <c r="D51" i="16"/>
  <c r="C51" i="16"/>
  <c r="G466" i="16"/>
  <c r="C465" i="16"/>
  <c r="G465" i="16" s="1"/>
  <c r="E464" i="16"/>
  <c r="D464" i="16"/>
  <c r="C463" i="16"/>
  <c r="E463" i="16" s="1"/>
  <c r="G462" i="16"/>
  <c r="C450" i="16"/>
  <c r="C451" i="16" s="1"/>
  <c r="G56" i="16"/>
  <c r="E56" i="16"/>
  <c r="D56" i="16"/>
  <c r="C56" i="16"/>
  <c r="G61" i="16"/>
  <c r="E61" i="16"/>
  <c r="D61" i="16"/>
  <c r="C61" i="16"/>
  <c r="E441" i="16"/>
  <c r="D441" i="16"/>
  <c r="C440" i="16"/>
  <c r="G440" i="16" s="1"/>
  <c r="G439" i="16"/>
  <c r="C438" i="16"/>
  <c r="G438" i="16" s="1"/>
  <c r="C434" i="16"/>
  <c r="G433" i="16"/>
  <c r="G432" i="16"/>
  <c r="G431" i="16"/>
  <c r="G430" i="16"/>
  <c r="E429" i="16"/>
  <c r="E434" i="16" s="1"/>
  <c r="D429" i="16"/>
  <c r="D434" i="16" s="1"/>
  <c r="C415" i="16"/>
  <c r="G414" i="16"/>
  <c r="G413" i="16"/>
  <c r="G412" i="16"/>
  <c r="E411" i="16"/>
  <c r="D411" i="16"/>
  <c r="E410" i="16"/>
  <c r="D410" i="16"/>
  <c r="E409" i="16"/>
  <c r="D409" i="16"/>
  <c r="C105" i="16"/>
  <c r="G104" i="16"/>
  <c r="E103" i="16"/>
  <c r="D103" i="16"/>
  <c r="E102" i="16"/>
  <c r="D102" i="16"/>
  <c r="C291" i="16"/>
  <c r="E290" i="16"/>
  <c r="D290" i="16"/>
  <c r="E289" i="16"/>
  <c r="D289" i="16"/>
  <c r="E288" i="16"/>
  <c r="D288" i="16"/>
  <c r="C137" i="16"/>
  <c r="G137" i="16" s="1"/>
  <c r="C136" i="16"/>
  <c r="C135" i="16"/>
  <c r="D135" i="16" s="1"/>
  <c r="G134" i="16"/>
  <c r="C509" i="16"/>
  <c r="E508" i="16"/>
  <c r="D508" i="16"/>
  <c r="D509" i="16" s="1"/>
  <c r="E274" i="16"/>
  <c r="D274" i="16"/>
  <c r="C274" i="16"/>
  <c r="G273" i="16"/>
  <c r="G272" i="16"/>
  <c r="E249" i="16"/>
  <c r="D249" i="16"/>
  <c r="C248" i="16"/>
  <c r="G248" i="16" s="1"/>
  <c r="C247" i="16"/>
  <c r="G247" i="16" s="1"/>
  <c r="C246" i="16"/>
  <c r="G246" i="16" s="1"/>
  <c r="G66" i="16"/>
  <c r="E66" i="16"/>
  <c r="D66" i="16"/>
  <c r="C66" i="16"/>
  <c r="C283" i="16"/>
  <c r="G282" i="16"/>
  <c r="G281" i="16"/>
  <c r="E280" i="16"/>
  <c r="D280" i="16"/>
  <c r="E279" i="16"/>
  <c r="D279" i="16"/>
  <c r="E241" i="16"/>
  <c r="D241" i="16"/>
  <c r="C241" i="16"/>
  <c r="G240" i="16"/>
  <c r="G239" i="16"/>
  <c r="G238" i="16"/>
  <c r="G237" i="16"/>
  <c r="G116" i="16"/>
  <c r="E116" i="16"/>
  <c r="D116" i="16"/>
  <c r="C116" i="16"/>
  <c r="E111" i="16"/>
  <c r="D111" i="16"/>
  <c r="C111" i="16"/>
  <c r="G110" i="16"/>
  <c r="G111" i="16" s="1"/>
  <c r="E232" i="16"/>
  <c r="D232" i="16"/>
  <c r="C232" i="16"/>
  <c r="G231" i="16"/>
  <c r="G230" i="16"/>
  <c r="C262" i="16"/>
  <c r="E261" i="16"/>
  <c r="E262" i="16" s="1"/>
  <c r="D261" i="16"/>
  <c r="C189" i="16"/>
  <c r="C190" i="16" s="1"/>
  <c r="C80" i="16"/>
  <c r="E78" i="16"/>
  <c r="D78" i="16"/>
  <c r="E77" i="16"/>
  <c r="D77" i="16"/>
  <c r="E76" i="16"/>
  <c r="D76" i="16"/>
  <c r="E75" i="16"/>
  <c r="D75" i="16"/>
  <c r="E74" i="16"/>
  <c r="D74" i="16"/>
  <c r="E73" i="16"/>
  <c r="D73" i="16"/>
  <c r="E72" i="16"/>
  <c r="D72" i="16"/>
  <c r="C95" i="16"/>
  <c r="E94" i="16"/>
  <c r="D94" i="16"/>
  <c r="E93" i="16"/>
  <c r="D93" i="16"/>
  <c r="C92" i="16"/>
  <c r="D92" i="16" s="1"/>
  <c r="C91" i="16"/>
  <c r="E91" i="16" s="1"/>
  <c r="C90" i="16"/>
  <c r="G90" i="16" s="1"/>
  <c r="G89" i="16"/>
  <c r="G88" i="16"/>
  <c r="G87" i="16"/>
  <c r="G86" i="16"/>
  <c r="C85" i="16"/>
  <c r="C267" i="16"/>
  <c r="E266" i="16"/>
  <c r="E267" i="16" s="1"/>
  <c r="D266" i="16"/>
  <c r="E184" i="16"/>
  <c r="D184" i="16"/>
  <c r="C184" i="16"/>
  <c r="G183" i="16"/>
  <c r="G184" i="16" s="1"/>
  <c r="C179" i="16"/>
  <c r="E171" i="16"/>
  <c r="D171" i="16"/>
  <c r="E170" i="16"/>
  <c r="D170" i="16"/>
  <c r="E169" i="16"/>
  <c r="D169" i="16"/>
  <c r="E168" i="16"/>
  <c r="D168" i="16"/>
  <c r="E167" i="16"/>
  <c r="D167" i="16"/>
  <c r="E166" i="16"/>
  <c r="D166" i="16"/>
  <c r="G165" i="16"/>
  <c r="G164" i="16"/>
  <c r="G163" i="16"/>
  <c r="G162" i="16"/>
  <c r="G161" i="16"/>
  <c r="G160" i="16"/>
  <c r="G159" i="16"/>
  <c r="G158" i="16"/>
  <c r="G157" i="16"/>
  <c r="G156" i="16"/>
  <c r="G155" i="16"/>
  <c r="G154" i="16"/>
  <c r="G153" i="16"/>
  <c r="G152" i="16"/>
  <c r="E125" i="16"/>
  <c r="D125" i="16"/>
  <c r="C125" i="16"/>
  <c r="G123" i="16"/>
  <c r="G122" i="16"/>
  <c r="C201" i="16"/>
  <c r="G201" i="16" s="1"/>
  <c r="C200" i="16"/>
  <c r="C223" i="16"/>
  <c r="G223" i="16" s="1"/>
  <c r="G222" i="16"/>
  <c r="E221" i="16"/>
  <c r="E224" i="16" s="1"/>
  <c r="D221" i="16"/>
  <c r="D224" i="16" s="1"/>
  <c r="G487" i="16"/>
  <c r="C487" i="16"/>
  <c r="E486" i="16"/>
  <c r="E487" i="16" s="1"/>
  <c r="D486" i="16"/>
  <c r="D487" i="16" s="1"/>
  <c r="G481" i="16"/>
  <c r="G480" i="16"/>
  <c r="C479" i="16"/>
  <c r="G479" i="16" s="1"/>
  <c r="C478" i="16"/>
  <c r="D478" i="16" s="1"/>
  <c r="D482" i="16" s="1"/>
  <c r="E473" i="16"/>
  <c r="D473" i="16"/>
  <c r="C473" i="16"/>
  <c r="G472" i="16"/>
  <c r="G471" i="16"/>
  <c r="C457" i="16"/>
  <c r="E456" i="16"/>
  <c r="D456" i="16"/>
  <c r="E455" i="16"/>
  <c r="D455" i="16"/>
  <c r="E217" i="16"/>
  <c r="D217" i="16"/>
  <c r="G216" i="16"/>
  <c r="C215" i="16"/>
  <c r="G215" i="16" s="1"/>
  <c r="G214" i="16"/>
  <c r="C213" i="16"/>
  <c r="G213" i="16" s="1"/>
  <c r="C212" i="16"/>
  <c r="G212" i="16" s="1"/>
  <c r="E147" i="16"/>
  <c r="D147" i="16"/>
  <c r="G146" i="16"/>
  <c r="C145" i="16"/>
  <c r="G145" i="16" s="1"/>
  <c r="G144" i="16"/>
  <c r="C143" i="16"/>
  <c r="G143" i="16" s="1"/>
  <c r="E207" i="16"/>
  <c r="D207" i="16"/>
  <c r="C207" i="16"/>
  <c r="G206" i="16"/>
  <c r="G207" i="16" s="1"/>
  <c r="G195" i="16"/>
  <c r="E195" i="16"/>
  <c r="D195" i="16"/>
  <c r="C195" i="16"/>
  <c r="E255" i="16"/>
  <c r="D255" i="16"/>
  <c r="C254" i="16"/>
  <c r="E254" i="16" s="1"/>
  <c r="G523" i="16" l="1"/>
  <c r="G524" i="16" s="1"/>
  <c r="E374" i="16"/>
  <c r="E543" i="16"/>
  <c r="G541" i="16"/>
  <c r="G543" i="16" s="1"/>
  <c r="D543" i="16"/>
  <c r="G373" i="16"/>
  <c r="G372" i="16"/>
  <c r="G374" i="16" s="1"/>
  <c r="D374" i="16"/>
  <c r="G385" i="16"/>
  <c r="G368" i="16"/>
  <c r="G350" i="16"/>
  <c r="G320" i="16"/>
  <c r="G333" i="16"/>
  <c r="G403" i="16"/>
  <c r="G312" i="16"/>
  <c r="G316" i="16"/>
  <c r="E323" i="16"/>
  <c r="G315" i="16"/>
  <c r="E405" i="16"/>
  <c r="G319" i="16"/>
  <c r="G313" i="16"/>
  <c r="G318" i="16"/>
  <c r="G304" i="16"/>
  <c r="G310" i="16"/>
  <c r="G314" i="16"/>
  <c r="G317" i="16"/>
  <c r="G321" i="16"/>
  <c r="G311" i="16"/>
  <c r="D323" i="16"/>
  <c r="G396" i="16"/>
  <c r="D405" i="16"/>
  <c r="G395" i="16"/>
  <c r="G402" i="16"/>
  <c r="E398" i="16"/>
  <c r="D398" i="16"/>
  <c r="G19" i="16"/>
  <c r="G26" i="16"/>
  <c r="G559" i="16"/>
  <c r="G561" i="16" s="1"/>
  <c r="G359" i="16"/>
  <c r="G547" i="16"/>
  <c r="G549" i="16" s="1"/>
  <c r="D549" i="16"/>
  <c r="G425" i="16"/>
  <c r="C391" i="16"/>
  <c r="G496" i="16"/>
  <c r="G498" i="16" s="1"/>
  <c r="G502" i="16"/>
  <c r="G503" i="16" s="1"/>
  <c r="D503" i="16"/>
  <c r="G513" i="16"/>
  <c r="G514" i="16" s="1"/>
  <c r="D514" i="16"/>
  <c r="D498" i="16"/>
  <c r="C467" i="16"/>
  <c r="G464" i="16"/>
  <c r="E467" i="16"/>
  <c r="D463" i="16"/>
  <c r="D467" i="16" s="1"/>
  <c r="D450" i="16"/>
  <c r="E450" i="16"/>
  <c r="E451" i="16" s="1"/>
  <c r="G441" i="16"/>
  <c r="G434" i="16"/>
  <c r="C441" i="16"/>
  <c r="G410" i="16"/>
  <c r="E415" i="16"/>
  <c r="G409" i="16"/>
  <c r="D415" i="16"/>
  <c r="G411" i="16"/>
  <c r="E105" i="16"/>
  <c r="G103" i="16"/>
  <c r="D291" i="16"/>
  <c r="D105" i="16"/>
  <c r="G102" i="16"/>
  <c r="G288" i="16"/>
  <c r="C138" i="16"/>
  <c r="G290" i="16"/>
  <c r="E291" i="16"/>
  <c r="G279" i="16"/>
  <c r="G289" i="16"/>
  <c r="E135" i="16"/>
  <c r="D136" i="16"/>
  <c r="D138" i="16" s="1"/>
  <c r="E136" i="16"/>
  <c r="G508" i="16"/>
  <c r="G509" i="16" s="1"/>
  <c r="E509" i="16"/>
  <c r="G274" i="16"/>
  <c r="G249" i="16"/>
  <c r="C249" i="16"/>
  <c r="G266" i="16"/>
  <c r="G267" i="16" s="1"/>
  <c r="G261" i="16"/>
  <c r="G262" i="16" s="1"/>
  <c r="E283" i="16"/>
  <c r="G280" i="16"/>
  <c r="D283" i="16"/>
  <c r="G241" i="16"/>
  <c r="G232" i="16"/>
  <c r="G74" i="16"/>
  <c r="G78" i="16"/>
  <c r="D262" i="16"/>
  <c r="D91" i="16"/>
  <c r="G91" i="16" s="1"/>
  <c r="E80" i="16"/>
  <c r="G75" i="16"/>
  <c r="G93" i="16"/>
  <c r="G72" i="16"/>
  <c r="G73" i="16"/>
  <c r="D189" i="16"/>
  <c r="D190" i="16" s="1"/>
  <c r="E189" i="16"/>
  <c r="D80" i="16"/>
  <c r="G76" i="16"/>
  <c r="G77" i="16"/>
  <c r="E92" i="16"/>
  <c r="G92" i="16" s="1"/>
  <c r="G94" i="16"/>
  <c r="C97" i="16"/>
  <c r="G125" i="16"/>
  <c r="D85" i="16"/>
  <c r="D95" i="16"/>
  <c r="E85" i="16"/>
  <c r="E95" i="16"/>
  <c r="D267" i="16"/>
  <c r="G167" i="16"/>
  <c r="G171" i="16"/>
  <c r="G169" i="16"/>
  <c r="E179" i="16"/>
  <c r="G168" i="16"/>
  <c r="D179" i="16"/>
  <c r="G166" i="16"/>
  <c r="G170" i="16"/>
  <c r="C202" i="16"/>
  <c r="D200" i="16"/>
  <c r="E200" i="16"/>
  <c r="E202" i="16" s="1"/>
  <c r="G224" i="16"/>
  <c r="C224" i="16"/>
  <c r="G473" i="16"/>
  <c r="C482" i="16"/>
  <c r="D457" i="16"/>
  <c r="E478" i="16"/>
  <c r="G217" i="16"/>
  <c r="G456" i="16"/>
  <c r="G455" i="16"/>
  <c r="E457" i="16"/>
  <c r="C217" i="16"/>
  <c r="G147" i="16"/>
  <c r="C147" i="16"/>
  <c r="G255" i="16"/>
  <c r="E256" i="16"/>
  <c r="C256" i="16"/>
  <c r="D254" i="16"/>
  <c r="D256" i="16" s="1"/>
  <c r="G405" i="16" l="1"/>
  <c r="G398" i="16"/>
  <c r="G323" i="16"/>
  <c r="G463" i="16"/>
  <c r="G467" i="16" s="1"/>
  <c r="G450" i="16"/>
  <c r="G451" i="16" s="1"/>
  <c r="D451" i="16"/>
  <c r="G105" i="16"/>
  <c r="G415" i="16"/>
  <c r="E138" i="16"/>
  <c r="G291" i="16"/>
  <c r="G136" i="16"/>
  <c r="G283" i="16"/>
  <c r="G135" i="16"/>
  <c r="G189" i="16"/>
  <c r="G190" i="16" s="1"/>
  <c r="E190" i="16"/>
  <c r="G80" i="16"/>
  <c r="E97" i="16"/>
  <c r="G95" i="16"/>
  <c r="G85" i="16"/>
  <c r="D97" i="16"/>
  <c r="G179" i="16"/>
  <c r="G200" i="16"/>
  <c r="G202" i="16" s="1"/>
  <c r="D202" i="16"/>
  <c r="G457" i="16"/>
  <c r="G478" i="16"/>
  <c r="G482" i="16" s="1"/>
  <c r="E482" i="16"/>
  <c r="G254" i="16"/>
  <c r="G256" i="16" s="1"/>
  <c r="G138" i="16" l="1"/>
  <c r="G97" i="16"/>
  <c r="K59" i="17" l="1"/>
  <c r="J59" i="17"/>
  <c r="K58" i="17"/>
  <c r="J58" i="17"/>
  <c r="K57" i="17"/>
  <c r="J57" i="17"/>
  <c r="K56" i="17"/>
  <c r="J56" i="17"/>
  <c r="K55" i="17"/>
  <c r="J55" i="17"/>
  <c r="L57" i="17" l="1"/>
  <c r="L56" i="17"/>
  <c r="L58" i="17"/>
  <c r="L55" i="17"/>
  <c r="L59" i="17"/>
  <c r="K30" i="17"/>
  <c r="K73" i="17" l="1"/>
  <c r="K66" i="17" l="1"/>
  <c r="K13" i="17"/>
  <c r="K68" i="17"/>
  <c r="K10" i="17"/>
  <c r="K35" i="17"/>
  <c r="K67" i="17"/>
  <c r="K15" i="17"/>
  <c r="K26" i="17"/>
  <c r="K48" i="17"/>
  <c r="K64" i="17"/>
  <c r="K54" i="17"/>
  <c r="K22" i="17"/>
  <c r="K44" i="17"/>
  <c r="K31" i="17"/>
  <c r="K9" i="17"/>
  <c r="K4" i="17"/>
  <c r="K45" i="17"/>
  <c r="K18" i="17"/>
  <c r="K20" i="17"/>
  <c r="K62" i="17"/>
  <c r="K61" i="17"/>
  <c r="K65" i="17"/>
  <c r="K50" i="17"/>
  <c r="K51" i="17"/>
  <c r="K33" i="17"/>
  <c r="K49" i="17"/>
  <c r="K52" i="17"/>
  <c r="K36" i="17"/>
  <c r="K27" i="17"/>
  <c r="I77" i="17" l="1"/>
  <c r="I60" i="17"/>
  <c r="J76" i="17"/>
  <c r="J75" i="17"/>
  <c r="J74" i="17"/>
  <c r="J73" i="17"/>
  <c r="J72" i="17"/>
  <c r="J71" i="17"/>
  <c r="J70" i="17"/>
  <c r="J69" i="17"/>
  <c r="J68" i="17"/>
  <c r="J67" i="17"/>
  <c r="J66" i="17"/>
  <c r="J65" i="17"/>
  <c r="J64" i="17"/>
  <c r="J63" i="17"/>
  <c r="J62" i="17"/>
  <c r="J61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60" i="17" l="1"/>
  <c r="J77" i="17"/>
  <c r="H60" i="17"/>
  <c r="H77" i="17"/>
  <c r="L73" i="17"/>
  <c r="L68" i="17"/>
  <c r="L67" i="17"/>
  <c r="L66" i="17"/>
  <c r="L65" i="17"/>
  <c r="L64" i="17"/>
  <c r="L62" i="17"/>
  <c r="L54" i="17"/>
  <c r="L52" i="17"/>
  <c r="L51" i="17"/>
  <c r="L50" i="17"/>
  <c r="L49" i="17"/>
  <c r="L48" i="17"/>
  <c r="L45" i="17"/>
  <c r="L44" i="17"/>
  <c r="L36" i="17"/>
  <c r="L35" i="17"/>
  <c r="L33" i="17"/>
  <c r="L31" i="17"/>
  <c r="L30" i="17"/>
  <c r="L27" i="17"/>
  <c r="L26" i="17"/>
  <c r="L22" i="17"/>
  <c r="L20" i="17"/>
  <c r="L18" i="17"/>
  <c r="L15" i="17"/>
  <c r="L13" i="17"/>
  <c r="L10" i="17"/>
  <c r="L9" i="17"/>
  <c r="L4" i="17"/>
  <c r="G77" i="17" l="1"/>
  <c r="L61" i="17"/>
  <c r="G60" i="17"/>
  <c r="A2" i="17"/>
  <c r="A1" i="17"/>
  <c r="K76" i="17" l="1"/>
  <c r="L76" i="17" s="1"/>
  <c r="K75" i="17"/>
  <c r="L75" i="17" s="1"/>
  <c r="K74" i="17"/>
  <c r="L74" i="17" s="1"/>
  <c r="K70" i="17"/>
  <c r="L70" i="17" s="1"/>
  <c r="K69" i="17"/>
  <c r="L69" i="17" s="1"/>
  <c r="K63" i="17"/>
  <c r="K53" i="17"/>
  <c r="L53" i="17" s="1"/>
  <c r="K47" i="17"/>
  <c r="L47" i="17" s="1"/>
  <c r="K46" i="17"/>
  <c r="L46" i="17" s="1"/>
  <c r="K43" i="17"/>
  <c r="L43" i="17" s="1"/>
  <c r="K42" i="17"/>
  <c r="L42" i="17" s="1"/>
  <c r="K40" i="17"/>
  <c r="L40" i="17" s="1"/>
  <c r="K39" i="17"/>
  <c r="L39" i="17" s="1"/>
  <c r="K38" i="17"/>
  <c r="L38" i="17" s="1"/>
  <c r="K34" i="17"/>
  <c r="L34" i="17" s="1"/>
  <c r="K28" i="17"/>
  <c r="L28" i="17" s="1"/>
  <c r="K25" i="17"/>
  <c r="L25" i="17" s="1"/>
  <c r="K24" i="17"/>
  <c r="L24" i="17" s="1"/>
  <c r="K21" i="17"/>
  <c r="L21" i="17" s="1"/>
  <c r="K17" i="17"/>
  <c r="L17" i="17" s="1"/>
  <c r="K16" i="17"/>
  <c r="L16" i="17" s="1"/>
  <c r="K12" i="17"/>
  <c r="L12" i="17" s="1"/>
  <c r="K8" i="17"/>
  <c r="L8" i="17" s="1"/>
  <c r="K6" i="17"/>
  <c r="L6" i="17" s="1"/>
  <c r="K5" i="17"/>
  <c r="L5" i="17" s="1"/>
  <c r="K14" i="17" l="1"/>
  <c r="L14" i="17" s="1"/>
  <c r="K11" i="17"/>
  <c r="L11" i="17" s="1"/>
  <c r="K72" i="17"/>
  <c r="L72" i="17" s="1"/>
  <c r="K7" i="17"/>
  <c r="L7" i="17" s="1"/>
  <c r="K23" i="17"/>
  <c r="L23" i="17" s="1"/>
  <c r="K19" i="17"/>
  <c r="L19" i="17" s="1"/>
  <c r="K29" i="17"/>
  <c r="L29" i="17" s="1"/>
  <c r="K37" i="17"/>
  <c r="L37" i="17" s="1"/>
  <c r="K41" i="17"/>
  <c r="L41" i="17" s="1"/>
  <c r="K71" i="17"/>
  <c r="L71" i="17" s="1"/>
  <c r="L63" i="17"/>
  <c r="K32" i="17"/>
  <c r="L77" i="17" l="1"/>
  <c r="K77" i="17"/>
  <c r="K60" i="17"/>
  <c r="L32" i="17"/>
  <c r="L60" i="17" l="1"/>
  <c r="G78" i="17"/>
  <c r="G270" i="16" l="1"/>
  <c r="C130" i="16"/>
  <c r="L78" i="17" l="1"/>
  <c r="K78" i="17" l="1"/>
  <c r="J78" i="17"/>
  <c r="E3" i="17"/>
  <c r="H78" i="17" l="1"/>
  <c r="I78" i="17"/>
  <c r="B68" i="19" l="1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L79" i="17" l="1"/>
  <c r="I135" i="18"/>
  <c r="J11" i="2" l="1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10" i="2"/>
  <c r="H11" i="2" l="1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10" i="2"/>
  <c r="E56" i="2"/>
  <c r="J10" i="3" l="1"/>
  <c r="I10" i="3"/>
  <c r="H10" i="3"/>
  <c r="F10" i="3"/>
  <c r="E10" i="3"/>
  <c r="G9" i="3"/>
  <c r="G8" i="3"/>
  <c r="G56" i="2"/>
  <c r="F56" i="2"/>
  <c r="I12" i="2"/>
  <c r="I10" i="2"/>
  <c r="B4" i="2"/>
  <c r="B3" i="2"/>
  <c r="B2" i="2"/>
  <c r="G10" i="3" l="1"/>
</calcChain>
</file>

<file path=xl/sharedStrings.xml><?xml version="1.0" encoding="utf-8"?>
<sst xmlns="http://schemas.openxmlformats.org/spreadsheetml/2006/main" count="1025" uniqueCount="516">
  <si>
    <t>PLANT</t>
  </si>
  <si>
    <t>t/m</t>
  </si>
  <si>
    <t>Cl. STOCK</t>
  </si>
  <si>
    <t>AVG RATE</t>
  </si>
  <si>
    <t>SHORT/(EXCESS)</t>
  </si>
  <si>
    <t>ALIIED METAL,FARIDABAD - LEPA</t>
  </si>
  <si>
    <t>Hemnil - Pune, LEPA</t>
  </si>
  <si>
    <t>POSHS Metal-Mumbai-LEPA</t>
  </si>
  <si>
    <t>Poshs Metal Industries Pvt.Ltd</t>
  </si>
  <si>
    <t>Tata Ryerson - Pune (LEPA)</t>
  </si>
  <si>
    <t>POS-HYUNDAI STEEL P.LTD - LEPA</t>
  </si>
  <si>
    <t>TOTAL FP</t>
  </si>
  <si>
    <t>Sharda</t>
  </si>
  <si>
    <t>M/S.KSRMN(BMW)-Nanded</t>
  </si>
  <si>
    <t>BMW Industries Ltd.-LEPA</t>
  </si>
  <si>
    <t>Brand Alloys</t>
  </si>
  <si>
    <t>TOTAL LP</t>
  </si>
  <si>
    <t>GRAND TOTAL</t>
  </si>
  <si>
    <t xml:space="preserve">TATA STEEL </t>
  </si>
  <si>
    <t>SALES &amp; EPA GROUP</t>
  </si>
  <si>
    <t>JAMSHEDPUR</t>
  </si>
  <si>
    <t>G.L.Code 2409004 GR/IR Liabilities for Conversion</t>
  </si>
  <si>
    <t>Plant</t>
  </si>
  <si>
    <t>Plant Name</t>
  </si>
  <si>
    <t>Control</t>
  </si>
  <si>
    <t>ISWP, Jamshedpur - LEPA</t>
  </si>
  <si>
    <t xml:space="preserve"> Controlled by Sales &amp; EPA A/cs JSR</t>
  </si>
  <si>
    <t>Not Controlled by Sales &amp; EPA A/cs JSR</t>
  </si>
  <si>
    <t>Beekay Steel Industries Limited</t>
  </si>
  <si>
    <t>BMW INDUSTRIES LTD - GEPA</t>
  </si>
  <si>
    <t>Sharda Shree Ispat Ltd.</t>
  </si>
  <si>
    <t>Kamini Metalliks Pvt. Limited</t>
  </si>
  <si>
    <t>M/s Gayathri Sales, Chandil</t>
  </si>
  <si>
    <t>BMW Jamshedpur - GEPA</t>
  </si>
  <si>
    <t>Indore Steel, LEPA</t>
  </si>
  <si>
    <t>Tata Ryerson Ltd,Jsr - TU EPA</t>
  </si>
  <si>
    <t>BMW Jamshedpur - TU EPA</t>
  </si>
  <si>
    <t>BMW INDUSTRIES LIMITED</t>
  </si>
  <si>
    <t>TCIL, Jamshedpur - LEPA</t>
  </si>
  <si>
    <t>Poshs Metal Industries P. Ltd. (Unit 2)</t>
  </si>
  <si>
    <t>Soorajamal,Calcutta - DC</t>
  </si>
  <si>
    <t>M/sGAYATHRI GLOBAL RESOURCES -II</t>
  </si>
  <si>
    <t>Tensil wire</t>
  </si>
  <si>
    <t>Grand Total</t>
  </si>
  <si>
    <t>G.L.Code 2406252 GR/IR Liabilities for Slitting Charges</t>
  </si>
  <si>
    <t>Bus Area</t>
  </si>
  <si>
    <t>As per GL 2406252</t>
  </si>
  <si>
    <t>As on March 12</t>
  </si>
  <si>
    <t>ISWP</t>
  </si>
  <si>
    <t>TSPDL,Jsr - CR GEPA</t>
  </si>
  <si>
    <t>TSPDL, FARIDABAD-LEPA</t>
  </si>
  <si>
    <t>TSPDL ,Jsr  - GEPA</t>
  </si>
  <si>
    <t>Modern India Steel Rolling MIlls</t>
  </si>
  <si>
    <t>TSPDL, Pune</t>
  </si>
  <si>
    <t>TSPDL, Faridabad-BFS</t>
  </si>
  <si>
    <t>TSPDL,Jsr - TU EPA</t>
  </si>
  <si>
    <t>BMW IND. -GAM</t>
  </si>
  <si>
    <t>TSPDL - Pune (LEPA)</t>
  </si>
  <si>
    <t>TSPDL-BARA</t>
  </si>
  <si>
    <t>TSPDL-PUNE</t>
  </si>
  <si>
    <t>TSPDL ,Jsr  - TU EPA</t>
  </si>
  <si>
    <t>TSPDL-BARA-TUBES</t>
  </si>
  <si>
    <t>BMW IND. -GAM-TUBES</t>
  </si>
  <si>
    <t>HEMNIL METAL</t>
  </si>
  <si>
    <t>BMW JSR</t>
  </si>
  <si>
    <t>TSPDLCR</t>
  </si>
  <si>
    <t>TSPDL HR TUB</t>
  </si>
  <si>
    <t>TSPDL CR TUB</t>
  </si>
  <si>
    <t>BMW TUB</t>
  </si>
  <si>
    <t>BMW GAMAHARIA</t>
  </si>
  <si>
    <t>TSPDL FARIDABAD</t>
  </si>
  <si>
    <t>TSPDL- Pune</t>
  </si>
  <si>
    <t>Modern India</t>
  </si>
  <si>
    <t>Beekay steel</t>
  </si>
  <si>
    <t>Indore steel</t>
  </si>
  <si>
    <t>STOCK LIAB</t>
  </si>
  <si>
    <t>Total</t>
  </si>
  <si>
    <t>Basic Value</t>
  </si>
  <si>
    <t>Particulars</t>
  </si>
  <si>
    <t>Net Amount</t>
  </si>
  <si>
    <t>AMT.</t>
  </si>
  <si>
    <t>Amt</t>
  </si>
  <si>
    <t>Details of the provision made.</t>
  </si>
  <si>
    <t>Provision for Conversion Testing:-</t>
  </si>
  <si>
    <t xml:space="preserve">MANUALLY PLANT WISE PROVISION ADJUSTED </t>
  </si>
  <si>
    <t>As on June 12</t>
  </si>
  <si>
    <t>As on September 12</t>
  </si>
  <si>
    <t>Review of Balances as on December '2012</t>
  </si>
  <si>
    <t>As on December 12</t>
  </si>
  <si>
    <t>BMW INDUSTRIES LTD.(UNIT-VI)B</t>
  </si>
  <si>
    <t>ALLIED FI-TECH IND-III TSL EPA</t>
  </si>
  <si>
    <t>ALLIED FI-TECH IND-II TSL EPA</t>
  </si>
  <si>
    <t>BMW-KOLKATA</t>
  </si>
  <si>
    <t>Tensile wire</t>
  </si>
  <si>
    <t>Variance</t>
  </si>
  <si>
    <t>TSPDL-HR</t>
  </si>
  <si>
    <t>Contract Expiry Date</t>
  </si>
  <si>
    <t>TSPDL DEMAG Slitter</t>
  </si>
  <si>
    <t>SKM Metal Processors</t>
  </si>
  <si>
    <t>SKM metal processer</t>
  </si>
  <si>
    <t>TSPDL Demag slitter</t>
  </si>
  <si>
    <t>31-06-2013</t>
  </si>
  <si>
    <t>TSPDL Tubes</t>
  </si>
  <si>
    <t>Nippon Cryo</t>
  </si>
  <si>
    <t>BMW</t>
  </si>
  <si>
    <t>Allied Strips</t>
  </si>
  <si>
    <t>TSPDL Chennai</t>
  </si>
  <si>
    <t>CAPL</t>
  </si>
  <si>
    <t>GRIR final</t>
  </si>
  <si>
    <t>TSPDL (for JCAPCPL)</t>
  </si>
  <si>
    <t>OR</t>
  </si>
  <si>
    <t>=</t>
  </si>
  <si>
    <t>BMW manifit for CGL#3</t>
  </si>
  <si>
    <t>CAPL Non mfg</t>
  </si>
  <si>
    <t>ALLIED HI-TECH IND-III TSL EPA</t>
  </si>
  <si>
    <t>Posh Hyundai-JCAPCPL</t>
  </si>
  <si>
    <t>BMW manifit for CAPL</t>
  </si>
  <si>
    <t>TSPDL Pune for CAPL</t>
  </si>
  <si>
    <t>Trishan Metals</t>
  </si>
  <si>
    <t>TSPDL Bara for CGL#3</t>
  </si>
  <si>
    <t>BMW Iron and Steel</t>
  </si>
  <si>
    <t>Mfg</t>
  </si>
  <si>
    <t>Non Mfg</t>
  </si>
  <si>
    <t>Validity date</t>
  </si>
  <si>
    <t>31.03.2018</t>
  </si>
  <si>
    <t>31.03.2019</t>
  </si>
  <si>
    <t>06.14.2019</t>
  </si>
  <si>
    <t>30.09.2019</t>
  </si>
  <si>
    <t>G.K.Ispat Private Limited</t>
  </si>
  <si>
    <t>SGST</t>
  </si>
  <si>
    <t>CGST</t>
  </si>
  <si>
    <t>31.10.2019</t>
  </si>
  <si>
    <t>30.06.2019</t>
  </si>
  <si>
    <t>31.05.2018</t>
  </si>
  <si>
    <t>30.11.2018</t>
  </si>
  <si>
    <t>NBC Weldmesh Pvt. Ltd.</t>
  </si>
  <si>
    <t>30.06.2018</t>
  </si>
  <si>
    <t>Plasma Metal</t>
  </si>
  <si>
    <t>31.12.2022</t>
  </si>
  <si>
    <t>Allied Hi-tech</t>
  </si>
  <si>
    <t>Samrat</t>
  </si>
  <si>
    <t>SSR ENTERPRISES</t>
  </si>
  <si>
    <t>RCS STEEL AND AUTO PRIVATE LIM</t>
  </si>
  <si>
    <t>TSPDL  CR</t>
  </si>
  <si>
    <t>TSPDL Pune</t>
  </si>
  <si>
    <t>BMW GMH</t>
  </si>
  <si>
    <t>JCAPL</t>
  </si>
  <si>
    <t>Vendor 16036</t>
  </si>
  <si>
    <t>Sandhu Tubes</t>
  </si>
  <si>
    <t>O/S BILL As confirmed by Vendors ( Excluding GST)</t>
  </si>
  <si>
    <t>Vendor</t>
  </si>
  <si>
    <t>Check</t>
  </si>
  <si>
    <t>17420</t>
  </si>
  <si>
    <t>Daga</t>
  </si>
  <si>
    <t>PSPL STEEL PROCESSORS</t>
  </si>
  <si>
    <t>CSGT</t>
  </si>
  <si>
    <t>ST</t>
  </si>
  <si>
    <t>INDU CORPORATION</t>
  </si>
  <si>
    <t>TSPDL</t>
  </si>
  <si>
    <t>Advance Set off</t>
  </si>
  <si>
    <t xml:space="preserve">TSPDL HR </t>
  </si>
  <si>
    <t xml:space="preserve">Sanfab </t>
  </si>
  <si>
    <t>Oct'19</t>
  </si>
  <si>
    <t>Scrap Dec'19</t>
  </si>
  <si>
    <t xml:space="preserve">Scrap Cutting Charges </t>
  </si>
  <si>
    <t>Tata steel LP Correction</t>
  </si>
  <si>
    <t>Compensation Jan' 20</t>
  </si>
  <si>
    <t>p</t>
  </si>
  <si>
    <t>Jagan Nath &amp; Sons</t>
  </si>
  <si>
    <t>Intransit</t>
  </si>
  <si>
    <t>CONV PROV FOR FP Jan'19_1172</t>
  </si>
  <si>
    <t>CONV PROV FOR FP Jan'19_TSPDL</t>
  </si>
  <si>
    <t>CONV PROV FOR FP Jan'19_OTHERS</t>
  </si>
  <si>
    <t>CONV PRO FOR LP Jan'19_ISWP</t>
  </si>
  <si>
    <t>CONV PRO FOR LP Jan'19_OTHERS</t>
  </si>
  <si>
    <t>CONV PRO FOR TSK_TSPDL_Jan'19</t>
  </si>
  <si>
    <t>CONV PRO FOR TSK_OTHERS_Jan'19</t>
  </si>
  <si>
    <t>CONV PRO FOR TSK_Bhushan_Jan'19</t>
  </si>
  <si>
    <t>Feb'20</t>
  </si>
  <si>
    <t>BMW2/HR/T/06</t>
  </si>
  <si>
    <t>BMW2/HR/T/08</t>
  </si>
  <si>
    <t>BMW2/HR/T/12</t>
  </si>
  <si>
    <t>Confirmation for providing data timely</t>
  </si>
  <si>
    <t>Ok</t>
  </si>
  <si>
    <t>OK</t>
  </si>
  <si>
    <t>Mar'20 Part 1</t>
  </si>
  <si>
    <t>Lab Testing Rate Increase Provision</t>
  </si>
  <si>
    <t>Jaganth</t>
  </si>
  <si>
    <t>Brand</t>
  </si>
  <si>
    <t>Beekay</t>
  </si>
  <si>
    <t>Hemnil</t>
  </si>
  <si>
    <t>Bhushan</t>
  </si>
  <si>
    <t>ok</t>
  </si>
  <si>
    <t xml:space="preserve">Advance Set off </t>
  </si>
  <si>
    <t>GL Correction</t>
  </si>
  <si>
    <t>In Transit</t>
  </si>
  <si>
    <t>Things to do:</t>
  </si>
  <si>
    <t>Remaining Rates</t>
  </si>
  <si>
    <t>9600 sheet complete</t>
  </si>
  <si>
    <t>Remaining O/S Chennai working and Plotting</t>
  </si>
  <si>
    <t>Beekay, Brand , Jaganath, Bhushan and Hemnil</t>
  </si>
  <si>
    <t>IND AS 24  Tally with O/S</t>
  </si>
  <si>
    <t>No disptach plant</t>
  </si>
  <si>
    <t>PLANT 1121</t>
  </si>
  <si>
    <t>TOTAL OS 1121</t>
  </si>
  <si>
    <t>TOTAL OS 4328</t>
  </si>
  <si>
    <t>PLANT 3151</t>
  </si>
  <si>
    <t>TOTAL OS 3151</t>
  </si>
  <si>
    <t>PLANT 1140</t>
  </si>
  <si>
    <t>TOTAL OS 1140</t>
  </si>
  <si>
    <t>PLANT 1141</t>
  </si>
  <si>
    <t>TOTAL OS 1141</t>
  </si>
  <si>
    <t>PLANT 1113</t>
  </si>
  <si>
    <t>TOTAL OS 1113</t>
  </si>
  <si>
    <t>PLANT 3114</t>
  </si>
  <si>
    <t>TOTAL OS 3114</t>
  </si>
  <si>
    <t>PLANT 3131</t>
  </si>
  <si>
    <t>TOTAL OS 3131</t>
  </si>
  <si>
    <t>PLANT 1163</t>
  </si>
  <si>
    <t>TOTAL OS 1172</t>
  </si>
  <si>
    <t>PLANT 1180</t>
  </si>
  <si>
    <t>TOTAL OS 1180</t>
  </si>
  <si>
    <t>PLANT 1133</t>
  </si>
  <si>
    <t>TOTAL OS 1133</t>
  </si>
  <si>
    <t>PLANT 1161</t>
  </si>
  <si>
    <t>TOTAL OS 1161</t>
  </si>
  <si>
    <t>PLANT 3155</t>
  </si>
  <si>
    <t>TOTAL OS 3155</t>
  </si>
  <si>
    <t>PLANT 1162</t>
  </si>
  <si>
    <t>TOTAL OS 1162</t>
  </si>
  <si>
    <t>PLANT 1164</t>
  </si>
  <si>
    <t>TOTAL OS 1164</t>
  </si>
  <si>
    <t>PLANT 3154</t>
  </si>
  <si>
    <t>TOTAL OS 3154</t>
  </si>
  <si>
    <t>PLANT 1135</t>
  </si>
  <si>
    <t>TOTAL OS 1135</t>
  </si>
  <si>
    <t>PLANT 2218</t>
  </si>
  <si>
    <t>TOTAL OS 2218</t>
  </si>
  <si>
    <t>PLANT 3112</t>
  </si>
  <si>
    <t>TOTAL OS 3112</t>
  </si>
  <si>
    <t>PLANT 1111</t>
  </si>
  <si>
    <t>TOTAL OS 1111</t>
  </si>
  <si>
    <t>PLANT 1134</t>
  </si>
  <si>
    <t>TOTAL OS 1134</t>
  </si>
  <si>
    <t>PLANT 1179</t>
  </si>
  <si>
    <t>TOTAL OS 1179</t>
  </si>
  <si>
    <t>PLANT 3119</t>
  </si>
  <si>
    <t>TOTAL OS 3119</t>
  </si>
  <si>
    <t>PLANT 2223</t>
  </si>
  <si>
    <t>TOTAL OS 2223</t>
  </si>
  <si>
    <t>PLANT 4315</t>
  </si>
  <si>
    <t>TOTAL OS 4315</t>
  </si>
  <si>
    <t>PLANT 4329</t>
  </si>
  <si>
    <t>TOTAL OS 4329</t>
  </si>
  <si>
    <t>PLANT 1254</t>
  </si>
  <si>
    <t>TOTAL OS 1254</t>
  </si>
  <si>
    <t>PLANT 1129</t>
  </si>
  <si>
    <t>TOTAL OS 1129</t>
  </si>
  <si>
    <t>PLANT 3138</t>
  </si>
  <si>
    <t>TOTAL OS 3138</t>
  </si>
  <si>
    <t>PLANT 3411</t>
  </si>
  <si>
    <t>TOTAL OS 3411</t>
  </si>
  <si>
    <t>PLANT 1192</t>
  </si>
  <si>
    <t>TOTAL OS 1192</t>
  </si>
  <si>
    <t>PLANT 1228</t>
  </si>
  <si>
    <t>TOTAL OS 1228</t>
  </si>
  <si>
    <t>PLANT 3448</t>
  </si>
  <si>
    <t>TOTAL OS 3448</t>
  </si>
  <si>
    <t>PLANT 1253</t>
  </si>
  <si>
    <t>TOTAL OS 1253</t>
  </si>
  <si>
    <t>PLANT 2025</t>
  </si>
  <si>
    <t>TOTAL OS 2025</t>
  </si>
  <si>
    <t>PLANT 1116</t>
  </si>
  <si>
    <t>TOTAL OS 1116</t>
  </si>
  <si>
    <t>PLANT 1184</t>
  </si>
  <si>
    <t>TOTAL OS 1184</t>
  </si>
  <si>
    <t>PLANT 1258</t>
  </si>
  <si>
    <t>TOTAL OS 1258</t>
  </si>
  <si>
    <t>PLANT 1295</t>
  </si>
  <si>
    <t>TOTAL OS 1295</t>
  </si>
  <si>
    <t>PLANT 2242</t>
  </si>
  <si>
    <t>TOTAL OS 2242</t>
  </si>
  <si>
    <t>PLANT 2248</t>
  </si>
  <si>
    <t>TOTAL OS 2248</t>
  </si>
  <si>
    <t>PLANT 2026</t>
  </si>
  <si>
    <t>TOTAL OS 2026</t>
  </si>
  <si>
    <t>PLANT 1169</t>
  </si>
  <si>
    <t>TOTAL OS 1169</t>
  </si>
  <si>
    <t>PLANT 1174</t>
  </si>
  <si>
    <t>TOTAL OS 1174</t>
  </si>
  <si>
    <t>PLANT 3148</t>
  </si>
  <si>
    <t>TOTAL OS 3148</t>
  </si>
  <si>
    <t>PLANT 1160</t>
  </si>
  <si>
    <t>TOTAL OS 1160</t>
  </si>
  <si>
    <t>PLANT 1167</t>
  </si>
  <si>
    <t>TOTAL OS 1167</t>
  </si>
  <si>
    <t>PLANT 1182</t>
  </si>
  <si>
    <t>TOTAL OS 1182</t>
  </si>
  <si>
    <t>PLANT 1187</t>
  </si>
  <si>
    <t>TOTAL OS 1187</t>
  </si>
  <si>
    <t>PLANT 3220</t>
  </si>
  <si>
    <t>TOTAL OS 3220</t>
  </si>
  <si>
    <t>PLANT 1267</t>
  </si>
  <si>
    <t>TOTAL OS 1267</t>
  </si>
  <si>
    <t>PLANT 1279</t>
  </si>
  <si>
    <t>TOTAL OS 1279</t>
  </si>
  <si>
    <t>PLANT 1188</t>
  </si>
  <si>
    <t>TOTAL OS 1188</t>
  </si>
  <si>
    <t>PLANT 4641</t>
  </si>
  <si>
    <t>TOTAL OS 4641</t>
  </si>
  <si>
    <t>PLANT 4423</t>
  </si>
  <si>
    <t>TOTAL OS 4423</t>
  </si>
  <si>
    <t>PLANT 4131</t>
  </si>
  <si>
    <t>TOTAL OS 4131</t>
  </si>
  <si>
    <t>PLANT 2239</t>
  </si>
  <si>
    <t>TOTAL OS 2239</t>
  </si>
  <si>
    <t>PLANT 4134</t>
  </si>
  <si>
    <t>TOTAL OS 4134</t>
  </si>
  <si>
    <t>PLANT 1291</t>
  </si>
  <si>
    <t>TOTAL OS 1291</t>
  </si>
  <si>
    <t>PLANT 3445</t>
  </si>
  <si>
    <t>TOTAL OS 3445</t>
  </si>
  <si>
    <t>PLANT 2111</t>
  </si>
  <si>
    <t>TOTAL OS 2111</t>
  </si>
  <si>
    <t>TOTAL OS 1163</t>
  </si>
  <si>
    <t>PLANT 1172</t>
  </si>
  <si>
    <t>PLANT 4328</t>
  </si>
  <si>
    <t>PLANT 2264</t>
  </si>
  <si>
    <t>TOTAL OS 2264</t>
  </si>
  <si>
    <t>PLANT 2243</t>
  </si>
  <si>
    <t>TOTAL OS 2243</t>
  </si>
  <si>
    <t>PLANT 2241</t>
  </si>
  <si>
    <t>TOTAL OS 2241</t>
  </si>
  <si>
    <t>PLANT 1213</t>
  </si>
  <si>
    <t>TOTAL OS 1213</t>
  </si>
  <si>
    <t>PLANT 2277</t>
  </si>
  <si>
    <t>TOTAL OS 2277</t>
  </si>
  <si>
    <t>PLANT 1171</t>
  </si>
  <si>
    <t>TOTAL OS 1171</t>
  </si>
  <si>
    <t>PLANT 2217</t>
  </si>
  <si>
    <t>TOTAL OS 2217</t>
  </si>
  <si>
    <t>Short Excess In Crs</t>
  </si>
  <si>
    <t>Diff in rate</t>
  </si>
  <si>
    <t>Gap</t>
  </si>
  <si>
    <t>AHPL-I/187 May'20</t>
  </si>
  <si>
    <t>AHPL-1/053 Apr'18</t>
  </si>
  <si>
    <t>Scrap Cutting Charges Apr18</t>
  </si>
  <si>
    <t>POS-HYUNDAI STEEL MFG. (I) PVT</t>
  </si>
  <si>
    <t xml:space="preserve">        Amount Matching but not Bill No</t>
  </si>
  <si>
    <t>Line Items inserted by Bot</t>
  </si>
  <si>
    <t xml:space="preserve">    ZSSNEW Amount Adjusted</t>
  </si>
  <si>
    <t>CHSSC/020 March'20</t>
  </si>
  <si>
    <t>1200040/19-20 August</t>
  </si>
  <si>
    <t>62 July</t>
  </si>
  <si>
    <t>78 August</t>
  </si>
  <si>
    <t>JBMC/00001/20-21 July</t>
  </si>
  <si>
    <t>Provision Jul 20</t>
  </si>
  <si>
    <t>Provision Nov 19 -  Mar 20</t>
  </si>
  <si>
    <t>JWI20009 July</t>
  </si>
  <si>
    <t>Provision May'20</t>
  </si>
  <si>
    <t>TSK</t>
  </si>
  <si>
    <t>88 August</t>
  </si>
  <si>
    <t>SI18064/000022 Sep'18</t>
  </si>
  <si>
    <t>BMW2/HR/C/01 July</t>
  </si>
  <si>
    <t>BMW2/HR/C/02 July</t>
  </si>
  <si>
    <t>TATA STEEL DOWNSTREAM PRODUCTS</t>
  </si>
  <si>
    <t>Sep'20</t>
  </si>
  <si>
    <t xml:space="preserve">Advance </t>
  </si>
  <si>
    <t>Compensation for Q2'20</t>
  </si>
  <si>
    <t>103 September</t>
  </si>
  <si>
    <t>127 September</t>
  </si>
  <si>
    <t>132 October</t>
  </si>
  <si>
    <t>AHPL-1/061 December'19</t>
  </si>
  <si>
    <t>AHPL-1/054 November'19</t>
  </si>
  <si>
    <t>PLANT 119</t>
  </si>
  <si>
    <t>TOTAL OS 119</t>
  </si>
  <si>
    <t>AHPL-V/149 September</t>
  </si>
  <si>
    <t>Conv October</t>
  </si>
  <si>
    <t>CHSSC/CR/005 November</t>
  </si>
  <si>
    <t>CHSSC/RPOC/015 February</t>
  </si>
  <si>
    <t>SI20331/000005 June</t>
  </si>
  <si>
    <t>BMWIL-MANF-20 October</t>
  </si>
  <si>
    <t>BMWIL-GMH-75 October</t>
  </si>
  <si>
    <t>148 November</t>
  </si>
  <si>
    <t>44 July</t>
  </si>
  <si>
    <t>SSR/TATA/02/398/2020-21 September</t>
  </si>
  <si>
    <t>TSDPL</t>
  </si>
  <si>
    <t>PLANT 2266</t>
  </si>
  <si>
    <t>TOTAL OS 2266</t>
  </si>
  <si>
    <t>TATA STEEL BSL  LIMITED</t>
  </si>
  <si>
    <t>PLANT 2286</t>
  </si>
  <si>
    <t>TOTAL OS 2286</t>
  </si>
  <si>
    <t>BAOSTEEL INDIA COMPANY PRIVATE</t>
  </si>
  <si>
    <t>ALLIED HI TECH INDUSTRIES PVT.</t>
  </si>
  <si>
    <t>PLANT 3171</t>
  </si>
  <si>
    <t>TOTAL OS 3171</t>
  </si>
  <si>
    <t>SV1501000005 November</t>
  </si>
  <si>
    <t>SV1501000007 November</t>
  </si>
  <si>
    <t>SV1501000008 November</t>
  </si>
  <si>
    <t>JW/2021/00945 November</t>
  </si>
  <si>
    <t>Nov'20</t>
  </si>
  <si>
    <t>SV2110000003 November</t>
  </si>
  <si>
    <t>SV2110000004 November</t>
  </si>
  <si>
    <t>CHSSC/RPOC/006 Compensation FY 15-19</t>
  </si>
  <si>
    <t>SV2110000005 November</t>
  </si>
  <si>
    <t>Provision for Pallet November</t>
  </si>
  <si>
    <t>PMI20202108 November</t>
  </si>
  <si>
    <t>SI20271/000099 Oct'20</t>
  </si>
  <si>
    <t>SI20271/000101 Oct'20</t>
  </si>
  <si>
    <t>AHPL-III/0687 November</t>
  </si>
  <si>
    <t>AHPL-III/0688 November</t>
  </si>
  <si>
    <t>AHPL-V/153 March-Aug</t>
  </si>
  <si>
    <t>1200081/2021</t>
  </si>
  <si>
    <t>1200082/2021</t>
  </si>
  <si>
    <t>STPL/T/036/20-21 November</t>
  </si>
  <si>
    <t>STPL/T/037/20-21 November</t>
  </si>
  <si>
    <t>SSIL/CON20-08 November</t>
  </si>
  <si>
    <t>B/CON/0019/20-21 November</t>
  </si>
  <si>
    <t>B/CON/0020/20-21 November</t>
  </si>
  <si>
    <t>B/CON/0021/20-21 November</t>
  </si>
  <si>
    <t>Nov'20 November</t>
  </si>
  <si>
    <t>Dec'20 Prov</t>
  </si>
  <si>
    <t>Prov Dec'20</t>
  </si>
  <si>
    <t>SI20271/000118 Nov'20</t>
  </si>
  <si>
    <t>FI2000003788 Nov'20</t>
  </si>
  <si>
    <t>FI2000003789 Nov'20</t>
  </si>
  <si>
    <t>FI2000003790 Nov'20</t>
  </si>
  <si>
    <t>FI2000003791 Nov'20</t>
  </si>
  <si>
    <t>FI2000003792 Nov'20</t>
  </si>
  <si>
    <t>FI2000003793 Nov'20</t>
  </si>
  <si>
    <t>Dec'20 Conv</t>
  </si>
  <si>
    <t>Dec'20 Fixed Wagon</t>
  </si>
  <si>
    <t>Dec'20 Fixed Trailor</t>
  </si>
  <si>
    <t>Dec'20 Fixed Packaging</t>
  </si>
  <si>
    <t>Dec'20 Lab testing</t>
  </si>
  <si>
    <t>Compensation Q3'20</t>
  </si>
  <si>
    <t>SI20331/000018 Nov'20</t>
  </si>
  <si>
    <t>SI20331/000019 Nov'20</t>
  </si>
  <si>
    <t>SI20331/000020 Nov'20</t>
  </si>
  <si>
    <t>Dec'20</t>
  </si>
  <si>
    <t>SI20064/000013 Nov'20</t>
  </si>
  <si>
    <t>JW/2021/00779 October'20</t>
  </si>
  <si>
    <t>JW/2021/00944 November'20</t>
  </si>
  <si>
    <t>SI20271/000116 Nov'20</t>
  </si>
  <si>
    <t>JWI20023 November'20</t>
  </si>
  <si>
    <t>SI20271/000117 Nov'20</t>
  </si>
  <si>
    <t>SI20271/000119 Nov'20</t>
  </si>
  <si>
    <t>Nov'20 Rate/Ton</t>
  </si>
  <si>
    <t>Rework Bill</t>
  </si>
  <si>
    <t>SV1501000006 November</t>
  </si>
  <si>
    <t>SV1501000011 December</t>
  </si>
  <si>
    <t>SV1501000012 December</t>
  </si>
  <si>
    <t>SV1501000015 December</t>
  </si>
  <si>
    <t>SV1501000016 December</t>
  </si>
  <si>
    <t>NCPL-18 December</t>
  </si>
  <si>
    <t>SV1501000013 December</t>
  </si>
  <si>
    <t>SV1501000014 December</t>
  </si>
  <si>
    <t>Prov Dec'20 December</t>
  </si>
  <si>
    <t>Dec'20 Packing</t>
  </si>
  <si>
    <t>Conv Dec'20 Prov</t>
  </si>
  <si>
    <t>Segregation Dec'20</t>
  </si>
  <si>
    <t>Vechile Loader Dec'20</t>
  </si>
  <si>
    <t>G.C.Cutting Dec'20</t>
  </si>
  <si>
    <t>Re-coiling Dec'20</t>
  </si>
  <si>
    <t>Re-slitting Dec'20</t>
  </si>
  <si>
    <t>Prime-2 Dec'20</t>
  </si>
  <si>
    <t>JW/2021/01165 December</t>
  </si>
  <si>
    <t>PMI20202109 December</t>
  </si>
  <si>
    <t>JWI20026 December'20</t>
  </si>
  <si>
    <t>AHPL-III/0711 December</t>
  </si>
  <si>
    <t>AHPL-III/0712 December</t>
  </si>
  <si>
    <t>AHPL-V/161 December</t>
  </si>
  <si>
    <t>1200101/2021 december</t>
  </si>
  <si>
    <t>1200102/2021 december</t>
  </si>
  <si>
    <t>STPL/T/042/20-21 December</t>
  </si>
  <si>
    <t>STPL/T/043/20-21 December</t>
  </si>
  <si>
    <t>STPL/T/044/20-21 December</t>
  </si>
  <si>
    <t>RCS000705 December</t>
  </si>
  <si>
    <t>PSPL-2/20-21/09</t>
  </si>
  <si>
    <t>SRPL/T/05/20-21 July</t>
  </si>
  <si>
    <t>SRPL/T/08/20-21 August</t>
  </si>
  <si>
    <t>SRPL/T/13/20-21 December</t>
  </si>
  <si>
    <t>SRPL/T/14/20-21 December</t>
  </si>
  <si>
    <t>SA/J/2021/0458 December</t>
  </si>
  <si>
    <t>SA/J/2021/0553 December</t>
  </si>
  <si>
    <t>HTI-01 July</t>
  </si>
  <si>
    <t>HTI-02 August</t>
  </si>
  <si>
    <t>HTI-03 June</t>
  </si>
  <si>
    <t>HTI-04 September</t>
  </si>
  <si>
    <t>HTI-05 November</t>
  </si>
  <si>
    <t>HTI-06 December</t>
  </si>
  <si>
    <t>1001584 December</t>
  </si>
  <si>
    <t>1001582 December</t>
  </si>
  <si>
    <t>MISRM/TMT/CON/06 December</t>
  </si>
  <si>
    <t>MISRM/TMT/PKG/06 December</t>
  </si>
  <si>
    <t>MISRM/TMT/SEG/06 December</t>
  </si>
  <si>
    <t>JBCO/00074/20-21</t>
  </si>
  <si>
    <t>JBCO/00075/20-21</t>
  </si>
  <si>
    <t>JBCO/00076/20-21</t>
  </si>
  <si>
    <t>JBCO/00077/20-21</t>
  </si>
  <si>
    <t>JBCO/00078/20-21</t>
  </si>
  <si>
    <t>JBCO/00079/20-21</t>
  </si>
  <si>
    <t>December</t>
  </si>
  <si>
    <t>SSIL/20/AUDIT/2020-2021 September</t>
  </si>
  <si>
    <t>SSIL/CON20-09 December</t>
  </si>
  <si>
    <t>SSIL/PAC20-16 December</t>
  </si>
  <si>
    <t>SSIL/TC20-09 December</t>
  </si>
  <si>
    <t>193 January</t>
  </si>
  <si>
    <t>BMW2/TMT/C/09 December</t>
  </si>
  <si>
    <t>BMW2/TMT/P/09 December</t>
  </si>
  <si>
    <t>BMW2/TMT/SL/09 December</t>
  </si>
  <si>
    <t>BMW2/TMT/CL/09 December</t>
  </si>
  <si>
    <t>B/CON/0022/20-21 December</t>
  </si>
  <si>
    <t>B/CON/0023/20-21 December</t>
  </si>
  <si>
    <t>B/CON/0024/20-21 December</t>
  </si>
  <si>
    <t xml:space="preserve">J-091/20-21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</si>
</sst>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(* #,##0.00_);_(* \(#,##0.00\);_(* &quot;-&quot;??_);_(@_)"/>
    <numFmt numFmtId="165" formatCode="_(* #,##0_);_(* \(#,##0\);_(* &quot;-&quot;??_);_(@_)"/>
    <numFmt numFmtId="166" formatCode="[$-409]mmmm\-yy;@"/>
    <numFmt numFmtId="167" formatCode="mm/dd/yy;@"/>
    <numFmt numFmtId="168" formatCode="_ * #,##0_ ;_ * \-#,##0_ ;_ * &quot;-&quot;??_ ;_ @_ "/>
    <numFmt numFmtId="169" formatCode="0.0000"/>
    <numFmt numFmtId="170" formatCode="_-* #,##0.00_-;\-* #,##0.00_-;_-* &quot;-&quot;??_-;_-@_-"/>
    <numFmt numFmtId="171" formatCode="_ * #,##0.000_ ;_ * \-#,##0.000_ ;_ * &quot;-&quot;??_ ;_ @_ "/>
    <numFmt numFmtId="172" formatCode="[$-F800]dddd\,\ mmmm\ dd\,\ yyyy"/>
    <numFmt numFmtId="173" formatCode="_ * #,##0.0_ ;_ * \-#,##0.0_ ;_ * &quot;-&quot;??_ ;_ @_ "/>
  </numFmts>
  <fonts count="5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206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00206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Verdana"/>
      <family val="2"/>
    </font>
    <font>
      <b/>
      <sz val="12"/>
      <name val="Calibri"/>
      <family val="2"/>
      <scheme val="minor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20"/>
      <color theme="1"/>
      <name val="Calibri"/>
      <family val="2"/>
      <scheme val="minor"/>
    </font>
    <font>
      <sz val="9"/>
      <name val="Arial"/>
      <family val="2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0"/>
      <name val="Calibri"/>
      <family val="2"/>
      <scheme val="minor"/>
    </font>
    <font>
      <sz val="11"/>
      <color theme="1"/>
      <name val="Calibr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0"/>
      <color rgb="FF000000"/>
      <name val="Times New Roman"/>
      <family val="1"/>
    </font>
    <font>
      <sz val="11"/>
      <color theme="1"/>
      <name val="Arial"/>
      <family val="2"/>
    </font>
    <font>
      <sz val="18"/>
      <color theme="3"/>
      <name val="Cambria"/>
      <family val="2"/>
      <scheme val="major"/>
    </font>
    <font>
      <sz val="10"/>
      <name val="Tahoma"/>
      <family val="2"/>
    </font>
    <font>
      <b/>
      <sz val="13.5"/>
      <color rgb="FF000080"/>
      <name val="Arial"/>
      <family val="2"/>
    </font>
    <font>
      <sz val="11"/>
      <color rgb="FF9C5700"/>
      <name val="Calibri"/>
      <family val="2"/>
      <scheme val="minor"/>
    </font>
    <font>
      <sz val="11"/>
      <color rgb="FF000000"/>
      <name val="Arial"/>
      <family val="2"/>
    </font>
    <font>
      <b/>
      <sz val="11"/>
      <color rgb="FFFF0000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color theme="5"/>
      <name val="Calibri"/>
      <family val="2"/>
      <scheme val="minor"/>
    </font>
    <font>
      <i/>
      <sz val="11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2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56">
    <xf numFmtId="0" fontId="0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0" fillId="0" borderId="0"/>
    <xf numFmtId="164" fontId="1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/>
    <xf numFmtId="166" fontId="10" fillId="0" borderId="0"/>
    <xf numFmtId="0" fontId="1" fillId="0" borderId="0"/>
    <xf numFmtId="164" fontId="1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17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6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7" fillId="0" borderId="17" applyNumberFormat="0" applyFill="0" applyAlignment="0" applyProtection="0"/>
    <xf numFmtId="0" fontId="28" fillId="0" borderId="18" applyNumberFormat="0" applyFill="0" applyAlignment="0" applyProtection="0"/>
    <xf numFmtId="0" fontId="29" fillId="0" borderId="19" applyNumberFormat="0" applyFill="0" applyAlignment="0" applyProtection="0"/>
    <xf numFmtId="0" fontId="29" fillId="0" borderId="0" applyNumberFormat="0" applyFill="0" applyBorder="0" applyAlignment="0" applyProtection="0"/>
    <xf numFmtId="0" fontId="30" fillId="10" borderId="0" applyNumberFormat="0" applyBorder="0" applyAlignment="0" applyProtection="0"/>
    <xf numFmtId="0" fontId="31" fillId="11" borderId="0" applyNumberFormat="0" applyBorder="0" applyAlignment="0" applyProtection="0"/>
    <xf numFmtId="0" fontId="32" fillId="13" borderId="20" applyNumberFormat="0" applyAlignment="0" applyProtection="0"/>
    <xf numFmtId="0" fontId="33" fillId="14" borderId="21" applyNumberFormat="0" applyAlignment="0" applyProtection="0"/>
    <xf numFmtId="0" fontId="34" fillId="14" borderId="20" applyNumberFormat="0" applyAlignment="0" applyProtection="0"/>
    <xf numFmtId="0" fontId="35" fillId="0" borderId="22" applyNumberFormat="0" applyFill="0" applyAlignment="0" applyProtection="0"/>
    <xf numFmtId="0" fontId="36" fillId="15" borderId="23" applyNumberFormat="0" applyAlignment="0" applyProtection="0"/>
    <xf numFmtId="0" fontId="24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4" fillId="0" borderId="25" applyNumberFormat="0" applyFill="0" applyAlignment="0" applyProtection="0"/>
    <xf numFmtId="0" fontId="38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38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38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38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38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38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9" fontId="10" fillId="0" borderId="0"/>
    <xf numFmtId="0" fontId="38" fillId="20" borderId="0" applyNumberFormat="0" applyBorder="0" applyAlignment="0" applyProtection="0"/>
    <xf numFmtId="0" fontId="38" fillId="24" borderId="0" applyNumberFormat="0" applyBorder="0" applyAlignment="0" applyProtection="0"/>
    <xf numFmtId="0" fontId="38" fillId="28" borderId="0" applyNumberFormat="0" applyBorder="0" applyAlignment="0" applyProtection="0"/>
    <xf numFmtId="0" fontId="38" fillId="32" borderId="0" applyNumberFormat="0" applyBorder="0" applyAlignment="0" applyProtection="0"/>
    <xf numFmtId="0" fontId="38" fillId="36" borderId="0" applyNumberFormat="0" applyBorder="0" applyAlignment="0" applyProtection="0"/>
    <xf numFmtId="0" fontId="38" fillId="40" borderId="0" applyNumberFormat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39" fillId="12" borderId="0" applyNumberFormat="0" applyBorder="0" applyAlignment="0" applyProtection="0"/>
    <xf numFmtId="0" fontId="1" fillId="16" borderId="24" applyNumberFormat="0" applyFont="0" applyAlignment="0" applyProtection="0"/>
    <xf numFmtId="0" fontId="40" fillId="0" borderId="0" applyNumberFormat="0" applyFill="0" applyBorder="0" applyAlignment="0" applyProtection="0"/>
    <xf numFmtId="0" fontId="1" fillId="16" borderId="24" applyNumberFormat="0" applyFont="0" applyAlignment="0" applyProtection="0"/>
    <xf numFmtId="0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1" fillId="0" borderId="0"/>
    <xf numFmtId="0" fontId="42" fillId="0" borderId="0"/>
    <xf numFmtId="164" fontId="42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38" fillId="17" borderId="0" applyNumberFormat="0" applyBorder="0" applyAlignment="0" applyProtection="0"/>
    <xf numFmtId="0" fontId="38" fillId="21" borderId="0" applyNumberFormat="0" applyBorder="0" applyAlignment="0" applyProtection="0"/>
    <xf numFmtId="0" fontId="38" fillId="25" borderId="0" applyNumberFormat="0" applyBorder="0" applyAlignment="0" applyProtection="0"/>
    <xf numFmtId="0" fontId="38" fillId="29" borderId="0" applyNumberFormat="0" applyBorder="0" applyAlignment="0" applyProtection="0"/>
    <xf numFmtId="0" fontId="38" fillId="33" borderId="0" applyNumberFormat="0" applyBorder="0" applyAlignment="0" applyProtection="0"/>
    <xf numFmtId="0" fontId="38" fillId="37" borderId="0" applyNumberFormat="0" applyBorder="0" applyAlignment="0" applyProtection="0"/>
    <xf numFmtId="0" fontId="31" fillId="11" borderId="0" applyNumberFormat="0" applyBorder="0" applyAlignment="0" applyProtection="0"/>
    <xf numFmtId="0" fontId="34" fillId="14" borderId="20" applyNumberFormat="0" applyAlignment="0" applyProtection="0"/>
    <xf numFmtId="0" fontId="36" fillId="15" borderId="23" applyNumberFormat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0" fillId="10" borderId="0" applyNumberFormat="0" applyBorder="0" applyAlignment="0" applyProtection="0"/>
    <xf numFmtId="0" fontId="27" fillId="0" borderId="17" applyNumberFormat="0" applyFill="0" applyAlignment="0" applyProtection="0"/>
    <xf numFmtId="0" fontId="28" fillId="0" borderId="18" applyNumberFormat="0" applyFill="0" applyAlignment="0" applyProtection="0"/>
    <xf numFmtId="0" fontId="29" fillId="0" borderId="19" applyNumberFormat="0" applyFill="0" applyAlignment="0" applyProtection="0"/>
    <xf numFmtId="0" fontId="29" fillId="0" borderId="0" applyNumberFormat="0" applyFill="0" applyBorder="0" applyAlignment="0" applyProtection="0"/>
    <xf numFmtId="0" fontId="32" fillId="13" borderId="20" applyNumberFormat="0" applyAlignment="0" applyProtection="0"/>
    <xf numFmtId="0" fontId="35" fillId="0" borderId="22" applyNumberFormat="0" applyFill="0" applyAlignment="0" applyProtection="0"/>
    <xf numFmtId="0" fontId="1" fillId="0" borderId="0"/>
    <xf numFmtId="0" fontId="10" fillId="0" borderId="0"/>
    <xf numFmtId="0" fontId="10" fillId="0" borderId="0"/>
    <xf numFmtId="0" fontId="1" fillId="16" borderId="24" applyNumberFormat="0" applyFont="0" applyAlignment="0" applyProtection="0"/>
    <xf numFmtId="0" fontId="33" fillId="14" borderId="2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25" applyNumberFormat="0" applyFill="0" applyAlignment="0" applyProtection="0"/>
    <xf numFmtId="0" fontId="24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6" fillId="12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5" fillId="0" borderId="0"/>
    <xf numFmtId="0" fontId="15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01">
    <xf numFmtId="0" fontId="0" fillId="0" borderId="0" xfId="0"/>
    <xf numFmtId="0" fontId="5" fillId="0" borderId="0" xfId="2" applyFont="1" applyBorder="1"/>
    <xf numFmtId="0" fontId="5" fillId="0" borderId="0" xfId="2" applyFont="1" applyAlignment="1">
      <alignment horizontal="center" vertical="center"/>
    </xf>
    <xf numFmtId="0" fontId="5" fillId="0" borderId="0" xfId="2" applyFont="1"/>
    <xf numFmtId="0" fontId="6" fillId="0" borderId="6" xfId="2" applyFont="1" applyBorder="1" applyAlignment="1">
      <alignment horizontal="center"/>
    </xf>
    <xf numFmtId="0" fontId="6" fillId="0" borderId="6" xfId="2" applyFont="1" applyFill="1" applyBorder="1" applyAlignment="1">
      <alignment horizontal="center"/>
    </xf>
    <xf numFmtId="0" fontId="4" fillId="0" borderId="6" xfId="2" applyFont="1" applyFill="1" applyBorder="1" applyAlignment="1">
      <alignment horizontal="center"/>
    </xf>
    <xf numFmtId="0" fontId="5" fillId="0" borderId="0" xfId="2" applyFont="1" applyFill="1"/>
    <xf numFmtId="0" fontId="7" fillId="2" borderId="7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164" fontId="8" fillId="2" borderId="7" xfId="3" applyFont="1" applyFill="1" applyBorder="1" applyAlignment="1">
      <alignment horizontal="center" vertical="center"/>
    </xf>
    <xf numFmtId="164" fontId="5" fillId="0" borderId="4" xfId="1" applyFont="1" applyBorder="1"/>
    <xf numFmtId="164" fontId="5" fillId="0" borderId="0" xfId="1" applyFont="1"/>
    <xf numFmtId="1" fontId="3" fillId="0" borderId="2" xfId="2" applyNumberFormat="1" applyFont="1" applyFill="1" applyBorder="1"/>
    <xf numFmtId="0" fontId="5" fillId="0" borderId="3" xfId="2" applyFont="1" applyFill="1" applyBorder="1" applyAlignment="1">
      <alignment horizontal="left"/>
    </xf>
    <xf numFmtId="0" fontId="4" fillId="0" borderId="9" xfId="2" applyFont="1" applyFill="1" applyBorder="1" applyAlignment="1">
      <alignment horizontal="center" vertical="center"/>
    </xf>
    <xf numFmtId="164" fontId="5" fillId="0" borderId="0" xfId="1" applyFont="1" applyFill="1"/>
    <xf numFmtId="0" fontId="6" fillId="0" borderId="0" xfId="2" applyFont="1"/>
    <xf numFmtId="0" fontId="7" fillId="2" borderId="7" xfId="0" applyFont="1" applyFill="1" applyBorder="1" applyAlignment="1">
      <alignment horizontal="left"/>
    </xf>
    <xf numFmtId="0" fontId="7" fillId="2" borderId="11" xfId="0" applyFont="1" applyFill="1" applyBorder="1" applyAlignment="1">
      <alignment horizontal="left"/>
    </xf>
    <xf numFmtId="164" fontId="7" fillId="2" borderId="12" xfId="3" applyFont="1" applyFill="1" applyBorder="1"/>
    <xf numFmtId="164" fontId="7" fillId="2" borderId="13" xfId="3" applyFont="1" applyFill="1" applyBorder="1" applyAlignment="1">
      <alignment horizontal="center" vertical="center"/>
    </xf>
    <xf numFmtId="164" fontId="6" fillId="0" borderId="0" xfId="1" applyFont="1"/>
    <xf numFmtId="0" fontId="7" fillId="2" borderId="14" xfId="2" applyFont="1" applyFill="1" applyBorder="1"/>
    <xf numFmtId="0" fontId="9" fillId="2" borderId="8" xfId="2" applyFont="1" applyFill="1" applyBorder="1"/>
    <xf numFmtId="164" fontId="7" fillId="2" borderId="8" xfId="2" applyNumberFormat="1" applyFont="1" applyFill="1" applyBorder="1"/>
    <xf numFmtId="0" fontId="5" fillId="2" borderId="15" xfId="2" applyFont="1" applyFill="1" applyBorder="1" applyAlignment="1">
      <alignment horizontal="center" vertical="center"/>
    </xf>
    <xf numFmtId="0" fontId="5" fillId="0" borderId="3" xfId="2" applyFont="1" applyFill="1" applyBorder="1" applyAlignment="1">
      <alignment horizontal="center"/>
    </xf>
    <xf numFmtId="0" fontId="4" fillId="0" borderId="1" xfId="2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/>
    </xf>
    <xf numFmtId="164" fontId="0" fillId="0" borderId="3" xfId="1" applyFont="1" applyBorder="1" applyAlignment="1">
      <alignment horizontal="center"/>
    </xf>
    <xf numFmtId="2" fontId="3" fillId="0" borderId="0" xfId="2" applyNumberFormat="1" applyFont="1" applyFill="1" applyBorder="1"/>
    <xf numFmtId="0" fontId="12" fillId="0" borderId="0" xfId="0" applyFont="1" applyFill="1" applyBorder="1"/>
    <xf numFmtId="165" fontId="5" fillId="0" borderId="3" xfId="1" applyNumberFormat="1" applyFont="1" applyFill="1" applyBorder="1"/>
    <xf numFmtId="165" fontId="2" fillId="0" borderId="3" xfId="1" applyNumberFormat="1" applyFont="1" applyFill="1" applyBorder="1"/>
    <xf numFmtId="1" fontId="3" fillId="0" borderId="0" xfId="2" applyNumberFormat="1" applyFont="1" applyFill="1" applyBorder="1"/>
    <xf numFmtId="165" fontId="2" fillId="0" borderId="0" xfId="1" applyNumberFormat="1" applyFont="1" applyFill="1" applyBorder="1"/>
    <xf numFmtId="0" fontId="6" fillId="0" borderId="0" xfId="2" applyFont="1" applyBorder="1" applyAlignment="1">
      <alignment horizontal="center" wrapText="1"/>
    </xf>
    <xf numFmtId="0" fontId="5" fillId="0" borderId="0" xfId="2" applyNumberFormat="1" applyFont="1"/>
    <xf numFmtId="0" fontId="5" fillId="0" borderId="3" xfId="0" applyFont="1" applyFill="1" applyBorder="1" applyAlignment="1">
      <alignment horizontal="left"/>
    </xf>
    <xf numFmtId="0" fontId="6" fillId="0" borderId="0" xfId="2" applyFont="1" applyBorder="1" applyAlignment="1">
      <alignment horizontal="center"/>
    </xf>
    <xf numFmtId="0" fontId="5" fillId="0" borderId="3" xfId="0" applyFont="1" applyFill="1" applyBorder="1"/>
    <xf numFmtId="0" fontId="7" fillId="2" borderId="3" xfId="1" applyNumberFormat="1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164" fontId="8" fillId="2" borderId="3" xfId="3" applyFont="1" applyFill="1" applyBorder="1" applyAlignment="1">
      <alignment horizontal="center" vertical="center"/>
    </xf>
    <xf numFmtId="0" fontId="4" fillId="0" borderId="3" xfId="2" applyFont="1" applyBorder="1" applyAlignment="1">
      <alignment horizontal="center" vertical="center"/>
    </xf>
    <xf numFmtId="0" fontId="5" fillId="0" borderId="3" xfId="2" applyFont="1" applyBorder="1" applyAlignment="1">
      <alignment horizontal="center" vertical="center"/>
    </xf>
    <xf numFmtId="0" fontId="4" fillId="0" borderId="3" xfId="2" applyFont="1" applyFill="1" applyBorder="1" applyAlignment="1">
      <alignment horizontal="center" vertical="center"/>
    </xf>
    <xf numFmtId="0" fontId="5" fillId="0" borderId="3" xfId="2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left"/>
    </xf>
    <xf numFmtId="165" fontId="6" fillId="0" borderId="3" xfId="1" applyNumberFormat="1" applyFont="1" applyFill="1" applyBorder="1"/>
    <xf numFmtId="0" fontId="6" fillId="0" borderId="0" xfId="2" applyFont="1" applyBorder="1" applyAlignment="1">
      <alignment horizontal="center"/>
    </xf>
    <xf numFmtId="0" fontId="8" fillId="0" borderId="0" xfId="2" applyNumberFormat="1" applyFont="1" applyBorder="1" applyAlignment="1">
      <alignment horizontal="left"/>
    </xf>
    <xf numFmtId="0" fontId="2" fillId="0" borderId="0" xfId="4" applyFont="1" applyFill="1"/>
    <xf numFmtId="0" fontId="4" fillId="0" borderId="0" xfId="2" applyFont="1" applyFill="1" applyBorder="1" applyAlignment="1">
      <alignment horizontal="center"/>
    </xf>
    <xf numFmtId="164" fontId="7" fillId="2" borderId="8" xfId="1" applyFont="1" applyFill="1" applyBorder="1"/>
    <xf numFmtId="0" fontId="6" fillId="0" borderId="0" xfId="2" applyFont="1" applyBorder="1" applyAlignment="1">
      <alignment horizontal="center"/>
    </xf>
    <xf numFmtId="0" fontId="2" fillId="0" borderId="0" xfId="4" applyFont="1" applyFill="1" applyBorder="1"/>
    <xf numFmtId="15" fontId="7" fillId="2" borderId="3" xfId="0" applyNumberFormat="1" applyFont="1" applyFill="1" applyBorder="1" applyAlignment="1">
      <alignment horizontal="center"/>
    </xf>
    <xf numFmtId="165" fontId="5" fillId="0" borderId="3" xfId="1" applyNumberFormat="1" applyFont="1" applyBorder="1" applyAlignment="1">
      <alignment horizontal="center"/>
    </xf>
    <xf numFmtId="0" fontId="5" fillId="0" borderId="3" xfId="0" applyFont="1" applyBorder="1" applyAlignment="1">
      <alignment horizontal="center" vertical="top"/>
    </xf>
    <xf numFmtId="165" fontId="5" fillId="0" borderId="3" xfId="1" applyNumberFormat="1" applyFont="1" applyBorder="1" applyAlignment="1">
      <alignment horizontal="center" vertical="top"/>
    </xf>
    <xf numFmtId="0" fontId="5" fillId="0" borderId="3" xfId="1" applyNumberFormat="1" applyFont="1" applyFill="1" applyBorder="1" applyAlignment="1">
      <alignment horizontal="center" vertical="top"/>
    </xf>
    <xf numFmtId="0" fontId="5" fillId="0" borderId="3" xfId="1" applyNumberFormat="1" applyFont="1" applyFill="1" applyBorder="1" applyAlignment="1">
      <alignment horizontal="center"/>
    </xf>
    <xf numFmtId="165" fontId="5" fillId="0" borderId="0" xfId="2" applyNumberFormat="1" applyFont="1"/>
    <xf numFmtId="165" fontId="2" fillId="0" borderId="0" xfId="4" applyNumberFormat="1" applyFont="1" applyFill="1"/>
    <xf numFmtId="164" fontId="2" fillId="0" borderId="0" xfId="1" applyFont="1" applyFill="1" applyBorder="1"/>
    <xf numFmtId="165" fontId="12" fillId="0" borderId="0" xfId="1" applyNumberFormat="1" applyFont="1" applyFill="1" applyBorder="1"/>
    <xf numFmtId="1" fontId="5" fillId="0" borderId="3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left" vertical="top"/>
    </xf>
    <xf numFmtId="0" fontId="6" fillId="0" borderId="0" xfId="2" applyFont="1" applyBorder="1" applyAlignment="1">
      <alignment wrapText="1"/>
    </xf>
    <xf numFmtId="0" fontId="6" fillId="0" borderId="0" xfId="2" applyFont="1" applyBorder="1" applyAlignment="1">
      <alignment horizontal="center"/>
    </xf>
    <xf numFmtId="167" fontId="5" fillId="0" borderId="3" xfId="0" applyNumberFormat="1" applyFont="1" applyFill="1" applyBorder="1" applyAlignment="1">
      <alignment horizontal="center"/>
    </xf>
    <xf numFmtId="0" fontId="6" fillId="0" borderId="0" xfId="2" applyFont="1" applyBorder="1" applyAlignment="1">
      <alignment wrapText="1"/>
    </xf>
    <xf numFmtId="0" fontId="6" fillId="0" borderId="0" xfId="2" applyFont="1" applyBorder="1" applyAlignment="1">
      <alignment horizontal="center"/>
    </xf>
    <xf numFmtId="165" fontId="6" fillId="0" borderId="3" xfId="0" applyNumberFormat="1" applyFont="1" applyFill="1" applyBorder="1" applyAlignment="1">
      <alignment horizontal="left"/>
    </xf>
    <xf numFmtId="0" fontId="2" fillId="0" borderId="0" xfId="2" applyFont="1" applyFill="1"/>
    <xf numFmtId="0" fontId="2" fillId="0" borderId="0" xfId="2" applyFont="1" applyFill="1" applyBorder="1"/>
    <xf numFmtId="0" fontId="12" fillId="0" borderId="0" xfId="4" applyFont="1" applyFill="1" applyBorder="1"/>
    <xf numFmtId="164" fontId="1" fillId="0" borderId="0" xfId="1" applyFont="1" applyFill="1"/>
    <xf numFmtId="164" fontId="2" fillId="0" borderId="0" xfId="4" applyNumberFormat="1" applyFont="1" applyFill="1"/>
    <xf numFmtId="165" fontId="12" fillId="0" borderId="0" xfId="1" applyNumberFormat="1" applyFont="1" applyFill="1" applyBorder="1" applyAlignment="1">
      <alignment horizontal="center" vertical="center"/>
    </xf>
    <xf numFmtId="4" fontId="2" fillId="0" borderId="0" xfId="4" applyNumberFormat="1" applyFont="1" applyFill="1"/>
    <xf numFmtId="165" fontId="2" fillId="0" borderId="0" xfId="4" applyNumberFormat="1" applyFont="1" applyFill="1" applyBorder="1"/>
    <xf numFmtId="164" fontId="2" fillId="0" borderId="0" xfId="1" applyFont="1" applyFill="1"/>
    <xf numFmtId="1" fontId="6" fillId="0" borderId="0" xfId="0" applyNumberFormat="1" applyFont="1" applyFill="1" applyBorder="1"/>
    <xf numFmtId="0" fontId="6" fillId="0" borderId="0" xfId="0" applyFont="1" applyFill="1" applyBorder="1"/>
    <xf numFmtId="164" fontId="2" fillId="0" borderId="3" xfId="1" applyFont="1" applyFill="1" applyBorder="1"/>
    <xf numFmtId="0" fontId="21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1" fontId="6" fillId="0" borderId="4" xfId="0" applyNumberFormat="1" applyFont="1" applyFill="1" applyBorder="1"/>
    <xf numFmtId="0" fontId="6" fillId="0" borderId="4" xfId="0" applyFont="1" applyFill="1" applyBorder="1"/>
    <xf numFmtId="165" fontId="2" fillId="0" borderId="0" xfId="2" applyNumberFormat="1" applyFont="1" applyFill="1"/>
    <xf numFmtId="164" fontId="2" fillId="0" borderId="0" xfId="2" applyNumberFormat="1" applyFont="1" applyFill="1"/>
    <xf numFmtId="4" fontId="2" fillId="0" borderId="0" xfId="2" applyNumberFormat="1" applyFont="1" applyFill="1"/>
    <xf numFmtId="165" fontId="2" fillId="0" borderId="0" xfId="1" applyNumberFormat="1" applyFont="1" applyFill="1"/>
    <xf numFmtId="0" fontId="12" fillId="0" borderId="0" xfId="4" applyFont="1" applyFill="1"/>
    <xf numFmtId="164" fontId="12" fillId="0" borderId="0" xfId="1" applyFont="1" applyFill="1" applyBorder="1"/>
    <xf numFmtId="164" fontId="6" fillId="0" borderId="0" xfId="1" applyFont="1" applyFill="1" applyBorder="1"/>
    <xf numFmtId="0" fontId="13" fillId="0" borderId="0" xfId="2" applyFont="1" applyFill="1"/>
    <xf numFmtId="164" fontId="13" fillId="0" borderId="0" xfId="2" applyNumberFormat="1" applyFont="1" applyFill="1"/>
    <xf numFmtId="0" fontId="3" fillId="0" borderId="0" xfId="2" applyFont="1" applyFill="1"/>
    <xf numFmtId="4" fontId="3" fillId="0" borderId="0" xfId="2" applyNumberFormat="1" applyFont="1" applyFill="1"/>
    <xf numFmtId="164" fontId="3" fillId="0" borderId="0" xfId="1" applyFont="1" applyFill="1"/>
    <xf numFmtId="1" fontId="5" fillId="0" borderId="16" xfId="0" applyNumberFormat="1" applyFont="1" applyFill="1" applyBorder="1" applyAlignment="1">
      <alignment horizontal="center" vertical="center"/>
    </xf>
    <xf numFmtId="165" fontId="6" fillId="0" borderId="4" xfId="1" applyNumberFormat="1" applyFont="1" applyFill="1" applyBorder="1"/>
    <xf numFmtId="1" fontId="2" fillId="0" borderId="0" xfId="2" applyNumberFormat="1" applyFont="1" applyFill="1"/>
    <xf numFmtId="165" fontId="3" fillId="0" borderId="0" xfId="2" applyNumberFormat="1" applyFont="1" applyFill="1"/>
    <xf numFmtId="164" fontId="0" fillId="0" borderId="3" xfId="1" applyFont="1" applyFill="1" applyBorder="1"/>
    <xf numFmtId="4" fontId="2" fillId="0" borderId="0" xfId="4" applyNumberFormat="1" applyFont="1" applyFill="1" applyBorder="1"/>
    <xf numFmtId="167" fontId="23" fillId="0" borderId="3" xfId="0" applyNumberFormat="1" applyFont="1" applyFill="1" applyBorder="1" applyAlignment="1">
      <alignment horizontal="center"/>
    </xf>
    <xf numFmtId="167" fontId="2" fillId="0" borderId="3" xfId="0" applyNumberFormat="1" applyFont="1" applyFill="1" applyBorder="1" applyAlignment="1">
      <alignment horizontal="center"/>
    </xf>
    <xf numFmtId="1" fontId="5" fillId="3" borderId="3" xfId="0" applyNumberFormat="1" applyFont="1" applyFill="1" applyBorder="1" applyAlignment="1">
      <alignment horizontal="center" vertical="center"/>
    </xf>
    <xf numFmtId="0" fontId="5" fillId="0" borderId="0" xfId="0" applyFont="1" applyFill="1" applyBorder="1"/>
    <xf numFmtId="4" fontId="12" fillId="0" borderId="0" xfId="1" applyNumberFormat="1" applyFont="1" applyFill="1" applyBorder="1"/>
    <xf numFmtId="1" fontId="5" fillId="5" borderId="3" xfId="0" applyNumberFormat="1" applyFont="1" applyFill="1" applyBorder="1" applyAlignment="1">
      <alignment horizontal="center" vertical="center"/>
    </xf>
    <xf numFmtId="1" fontId="5" fillId="9" borderId="3" xfId="0" applyNumberFormat="1" applyFont="1" applyFill="1" applyBorder="1" applyAlignment="1">
      <alignment horizontal="center" vertical="center"/>
    </xf>
    <xf numFmtId="1" fontId="5" fillId="2" borderId="3" xfId="0" applyNumberFormat="1" applyFont="1" applyFill="1" applyBorder="1" applyAlignment="1">
      <alignment horizontal="center" vertical="center"/>
    </xf>
    <xf numFmtId="0" fontId="25" fillId="0" borderId="0" xfId="2" applyFont="1" applyFill="1"/>
    <xf numFmtId="165" fontId="5" fillId="0" borderId="3" xfId="0" applyNumberFormat="1" applyFont="1" applyFill="1" applyBorder="1"/>
    <xf numFmtId="164" fontId="12" fillId="0" borderId="3" xfId="1" applyFont="1" applyFill="1" applyBorder="1"/>
    <xf numFmtId="0" fontId="6" fillId="0" borderId="0" xfId="1" applyNumberFormat="1" applyFont="1" applyFill="1" applyBorder="1"/>
    <xf numFmtId="165" fontId="2" fillId="0" borderId="0" xfId="1" applyNumberFormat="1" applyFont="1" applyFill="1" applyAlignment="1">
      <alignment horizontal="center"/>
    </xf>
    <xf numFmtId="0" fontId="45" fillId="0" borderId="0" xfId="0" applyFont="1"/>
    <xf numFmtId="164" fontId="2" fillId="0" borderId="0" xfId="4" applyNumberFormat="1" applyFont="1" applyFill="1" applyBorder="1"/>
    <xf numFmtId="0" fontId="0" fillId="0" borderId="0" xfId="0" applyFill="1" applyBorder="1"/>
    <xf numFmtId="164" fontId="0" fillId="0" borderId="0" xfId="0" applyNumberFormat="1" applyFill="1" applyBorder="1"/>
    <xf numFmtId="0" fontId="14" fillId="0" borderId="0" xfId="0" applyFont="1" applyFill="1" applyBorder="1"/>
    <xf numFmtId="164" fontId="14" fillId="0" borderId="0" xfId="0" applyNumberFormat="1" applyFont="1" applyFill="1" applyBorder="1"/>
    <xf numFmtId="165" fontId="12" fillId="0" borderId="0" xfId="1" applyNumberFormat="1" applyFont="1" applyFill="1"/>
    <xf numFmtId="0" fontId="12" fillId="0" borderId="3" xfId="4" applyFont="1" applyFill="1" applyBorder="1"/>
    <xf numFmtId="165" fontId="12" fillId="0" borderId="3" xfId="1" applyNumberFormat="1" applyFont="1" applyFill="1" applyBorder="1"/>
    <xf numFmtId="0" fontId="2" fillId="0" borderId="3" xfId="4" applyFont="1" applyFill="1" applyBorder="1"/>
    <xf numFmtId="17" fontId="5" fillId="0" borderId="3" xfId="0" applyNumberFormat="1" applyFont="1" applyFill="1" applyBorder="1"/>
    <xf numFmtId="0" fontId="5" fillId="0" borderId="4" xfId="0" applyFont="1" applyFill="1" applyBorder="1"/>
    <xf numFmtId="17" fontId="2" fillId="0" borderId="3" xfId="4" applyNumberFormat="1" applyFont="1" applyFill="1" applyBorder="1"/>
    <xf numFmtId="165" fontId="2" fillId="0" borderId="3" xfId="4" applyNumberFormat="1" applyFont="1" applyFill="1" applyBorder="1"/>
    <xf numFmtId="0" fontId="5" fillId="0" borderId="0" xfId="0" applyNumberFormat="1" applyFont="1" applyFill="1" applyBorder="1"/>
    <xf numFmtId="0" fontId="14" fillId="7" borderId="3" xfId="0" applyNumberFormat="1" applyFont="1" applyFill="1" applyBorder="1" applyAlignment="1">
      <alignment horizontal="center"/>
    </xf>
    <xf numFmtId="1" fontId="6" fillId="8" borderId="3" xfId="0" applyNumberFormat="1" applyFont="1" applyFill="1" applyBorder="1" applyAlignment="1">
      <alignment horizontal="center" vertical="center"/>
    </xf>
    <xf numFmtId="1" fontId="6" fillId="4" borderId="3" xfId="0" applyNumberFormat="1" applyFont="1" applyFill="1" applyBorder="1" applyAlignment="1">
      <alignment horizontal="center" vertical="center"/>
    </xf>
    <xf numFmtId="164" fontId="6" fillId="0" borderId="3" xfId="1" applyFont="1" applyFill="1" applyBorder="1"/>
    <xf numFmtId="165" fontId="5" fillId="2" borderId="3" xfId="1" applyNumberFormat="1" applyFont="1" applyFill="1" applyBorder="1"/>
    <xf numFmtId="17" fontId="19" fillId="0" borderId="3" xfId="0" applyNumberFormat="1" applyFont="1" applyFill="1" applyBorder="1"/>
    <xf numFmtId="17" fontId="2" fillId="0" borderId="3" xfId="0" applyNumberFormat="1" applyFont="1" applyFill="1" applyBorder="1"/>
    <xf numFmtId="0" fontId="2" fillId="0" borderId="3" xfId="0" applyFont="1" applyFill="1" applyBorder="1"/>
    <xf numFmtId="4" fontId="12" fillId="0" borderId="3" xfId="1" applyNumberFormat="1" applyFont="1" applyFill="1" applyBorder="1"/>
    <xf numFmtId="17" fontId="44" fillId="0" borderId="3" xfId="0" applyNumberFormat="1" applyFont="1" applyFill="1" applyBorder="1" applyAlignment="1">
      <alignment horizontal="left"/>
    </xf>
    <xf numFmtId="17" fontId="19" fillId="0" borderId="3" xfId="0" applyNumberFormat="1" applyFont="1" applyFill="1" applyBorder="1" applyAlignment="1">
      <alignment horizontal="left"/>
    </xf>
    <xf numFmtId="0" fontId="12" fillId="0" borderId="3" xfId="4" applyFont="1" applyFill="1" applyBorder="1" applyAlignment="1">
      <alignment horizontal="left" vertical="center"/>
    </xf>
    <xf numFmtId="17" fontId="2" fillId="0" borderId="3" xfId="4" applyNumberFormat="1" applyFont="1" applyFill="1" applyBorder="1" applyAlignment="1">
      <alignment horizontal="left"/>
    </xf>
    <xf numFmtId="1" fontId="6" fillId="3" borderId="3" xfId="0" applyNumberFormat="1" applyFont="1" applyFill="1" applyBorder="1" applyAlignment="1">
      <alignment horizontal="center" vertical="center"/>
    </xf>
    <xf numFmtId="1" fontId="6" fillId="5" borderId="3" xfId="0" applyNumberFormat="1" applyFont="1" applyFill="1" applyBorder="1" applyAlignment="1">
      <alignment horizontal="center" vertical="center"/>
    </xf>
    <xf numFmtId="1" fontId="6" fillId="9" borderId="3" xfId="0" applyNumberFormat="1" applyFont="1" applyFill="1" applyBorder="1" applyAlignment="1">
      <alignment horizontal="center" vertical="center"/>
    </xf>
    <xf numFmtId="1" fontId="6" fillId="2" borderId="3" xfId="0" applyNumberFormat="1" applyFont="1" applyFill="1" applyBorder="1" applyAlignment="1">
      <alignment horizontal="center" vertical="center"/>
    </xf>
    <xf numFmtId="0" fontId="12" fillId="0" borderId="3" xfId="4" applyFont="1" applyFill="1" applyBorder="1" applyAlignment="1">
      <alignment horizontal="center" vertical="center"/>
    </xf>
    <xf numFmtId="0" fontId="2" fillId="0" borderId="3" xfId="4" applyFont="1" applyFill="1" applyBorder="1" applyAlignment="1">
      <alignment horizontal="left" vertical="center"/>
    </xf>
    <xf numFmtId="0" fontId="2" fillId="0" borderId="3" xfId="4" applyFont="1" applyFill="1" applyBorder="1" applyAlignment="1">
      <alignment horizontal="center" vertical="center"/>
    </xf>
    <xf numFmtId="4" fontId="0" fillId="0" borderId="0" xfId="0" applyNumberFormat="1"/>
    <xf numFmtId="4" fontId="14" fillId="0" borderId="0" xfId="0" applyNumberFormat="1" applyFont="1"/>
    <xf numFmtId="0" fontId="2" fillId="0" borderId="3" xfId="4" applyFont="1" applyFill="1" applyBorder="1" applyAlignment="1">
      <alignment horizontal="left"/>
    </xf>
    <xf numFmtId="4" fontId="13" fillId="0" borderId="0" xfId="2" applyNumberFormat="1" applyFont="1" applyFill="1"/>
    <xf numFmtId="0" fontId="44" fillId="0" borderId="3" xfId="0" applyFont="1" applyFill="1" applyBorder="1"/>
    <xf numFmtId="0" fontId="47" fillId="0" borderId="0" xfId="0" applyFont="1" applyAlignment="1">
      <alignment vertical="center"/>
    </xf>
    <xf numFmtId="1" fontId="6" fillId="0" borderId="3" xfId="0" applyNumberFormat="1" applyFont="1" applyFill="1" applyBorder="1" applyAlignment="1">
      <alignment horizontal="center" vertical="center"/>
    </xf>
    <xf numFmtId="0" fontId="0" fillId="0" borderId="3" xfId="0" applyFont="1" applyFill="1" applyBorder="1"/>
    <xf numFmtId="168" fontId="2" fillId="0" borderId="3" xfId="4" applyNumberFormat="1" applyFont="1" applyFill="1" applyBorder="1"/>
    <xf numFmtId="0" fontId="19" fillId="0" borderId="3" xfId="0" applyFont="1" applyFill="1" applyBorder="1"/>
    <xf numFmtId="1" fontId="6" fillId="0" borderId="10" xfId="0" applyNumberFormat="1" applyFont="1" applyFill="1" applyBorder="1" applyAlignment="1">
      <alignment horizontal="center" vertical="center"/>
    </xf>
    <xf numFmtId="165" fontId="2" fillId="41" borderId="3" xfId="1" applyNumberFormat="1" applyFont="1" applyFill="1" applyBorder="1"/>
    <xf numFmtId="0" fontId="14" fillId="0" borderId="3" xfId="0" applyFont="1" applyBorder="1"/>
    <xf numFmtId="0" fontId="14" fillId="0" borderId="3" xfId="0" applyFont="1" applyBorder="1" applyAlignment="1">
      <alignment wrapText="1"/>
    </xf>
    <xf numFmtId="0" fontId="0" fillId="0" borderId="3" xfId="0" applyBorder="1"/>
    <xf numFmtId="0" fontId="48" fillId="0" borderId="3" xfId="0" applyFont="1" applyBorder="1"/>
    <xf numFmtId="0" fontId="5" fillId="2" borderId="3" xfId="0" applyFont="1" applyFill="1" applyBorder="1"/>
    <xf numFmtId="0" fontId="14" fillId="0" borderId="3" xfId="0" applyNumberFormat="1" applyFont="1" applyFill="1" applyBorder="1" applyAlignment="1">
      <alignment horizontal="center"/>
    </xf>
    <xf numFmtId="1" fontId="6" fillId="0" borderId="16" xfId="0" applyNumberFormat="1" applyFont="1" applyFill="1" applyBorder="1" applyAlignment="1">
      <alignment horizontal="center" vertical="center"/>
    </xf>
    <xf numFmtId="164" fontId="8" fillId="0" borderId="3" xfId="1" applyNumberFormat="1" applyFont="1" applyFill="1" applyBorder="1"/>
    <xf numFmtId="164" fontId="23" fillId="0" borderId="3" xfId="1" applyNumberFormat="1" applyFont="1" applyFill="1" applyBorder="1"/>
    <xf numFmtId="164" fontId="2" fillId="0" borderId="0" xfId="1" applyNumberFormat="1" applyFont="1" applyFill="1"/>
    <xf numFmtId="0" fontId="2" fillId="0" borderId="0" xfId="2" applyNumberFormat="1" applyFont="1" applyFill="1"/>
    <xf numFmtId="0" fontId="2" fillId="0" borderId="0" xfId="2" applyNumberFormat="1" applyFont="1" applyFill="1" applyBorder="1"/>
    <xf numFmtId="0" fontId="12" fillId="43" borderId="3" xfId="4" applyFont="1" applyFill="1" applyBorder="1"/>
    <xf numFmtId="0" fontId="2" fillId="43" borderId="3" xfId="4" applyFont="1" applyFill="1" applyBorder="1"/>
    <xf numFmtId="0" fontId="14" fillId="0" borderId="3" xfId="0" applyFont="1" applyFill="1" applyBorder="1"/>
    <xf numFmtId="165" fontId="16" fillId="0" borderId="3" xfId="1" applyNumberFormat="1" applyFont="1" applyFill="1" applyBorder="1"/>
    <xf numFmtId="164" fontId="5" fillId="0" borderId="3" xfId="1" applyNumberFormat="1" applyFont="1" applyFill="1" applyBorder="1"/>
    <xf numFmtId="164" fontId="6" fillId="0" borderId="3" xfId="1" applyNumberFormat="1" applyFont="1" applyFill="1" applyBorder="1"/>
    <xf numFmtId="164" fontId="3" fillId="0" borderId="0" xfId="2" applyNumberFormat="1" applyFont="1" applyFill="1"/>
    <xf numFmtId="164" fontId="2" fillId="0" borderId="0" xfId="2" applyNumberFormat="1" applyFont="1" applyFill="1"/>
    <xf numFmtId="1" fontId="6" fillId="44" borderId="3" xfId="0" applyNumberFormat="1" applyFont="1" applyFill="1" applyBorder="1"/>
    <xf numFmtId="1" fontId="5" fillId="44" borderId="3" xfId="0" applyNumberFormat="1" applyFont="1" applyFill="1" applyBorder="1" applyAlignment="1">
      <alignment horizontal="center" vertical="center"/>
    </xf>
    <xf numFmtId="0" fontId="5" fillId="44" borderId="3" xfId="0" applyFont="1" applyFill="1" applyBorder="1"/>
    <xf numFmtId="167" fontId="6" fillId="44" borderId="3" xfId="0" applyNumberFormat="1" applyFont="1" applyFill="1" applyBorder="1" applyAlignment="1">
      <alignment horizontal="center"/>
    </xf>
    <xf numFmtId="165" fontId="6" fillId="44" borderId="3" xfId="1" applyNumberFormat="1" applyFont="1" applyFill="1" applyBorder="1"/>
    <xf numFmtId="165" fontId="5" fillId="44" borderId="3" xfId="1" applyNumberFormat="1" applyFont="1" applyFill="1" applyBorder="1"/>
    <xf numFmtId="0" fontId="6" fillId="44" borderId="3" xfId="0" applyFont="1" applyFill="1" applyBorder="1"/>
    <xf numFmtId="1" fontId="5" fillId="0" borderId="0" xfId="0" applyNumberFormat="1" applyFont="1" applyFill="1" applyBorder="1" applyAlignment="1">
      <alignment horizontal="center" vertical="center"/>
    </xf>
    <xf numFmtId="0" fontId="0" fillId="3" borderId="3" xfId="0" applyNumberFormat="1" applyFill="1" applyBorder="1" applyAlignment="1">
      <alignment horizontal="center"/>
    </xf>
    <xf numFmtId="0" fontId="0" fillId="2" borderId="3" xfId="0" applyFont="1" applyFill="1" applyBorder="1"/>
    <xf numFmtId="1" fontId="6" fillId="6" borderId="3" xfId="0" applyNumberFormat="1" applyFont="1" applyFill="1" applyBorder="1" applyAlignment="1">
      <alignment horizontal="center" vertical="center"/>
    </xf>
    <xf numFmtId="1" fontId="6" fillId="7" borderId="3" xfId="0" applyNumberFormat="1" applyFont="1" applyFill="1" applyBorder="1" applyAlignment="1">
      <alignment horizontal="center" vertical="center"/>
    </xf>
    <xf numFmtId="0" fontId="6" fillId="43" borderId="3" xfId="0" applyFont="1" applyFill="1" applyBorder="1"/>
    <xf numFmtId="0" fontId="12" fillId="42" borderId="0" xfId="4" applyFont="1" applyFill="1" applyBorder="1"/>
    <xf numFmtId="164" fontId="6" fillId="0" borderId="0" xfId="1" applyNumberFormat="1" applyFont="1" applyFill="1" applyBorder="1"/>
    <xf numFmtId="165" fontId="5" fillId="43" borderId="3" xfId="1" applyNumberFormat="1" applyFont="1" applyFill="1" applyBorder="1"/>
    <xf numFmtId="165" fontId="6" fillId="0" borderId="0" xfId="1" applyNumberFormat="1" applyFont="1" applyFill="1" applyBorder="1"/>
    <xf numFmtId="165" fontId="6" fillId="43" borderId="3" xfId="1" applyNumberFormat="1" applyFont="1" applyFill="1" applyBorder="1"/>
    <xf numFmtId="164" fontId="19" fillId="0" borderId="3" xfId="130" applyFont="1" applyFill="1" applyBorder="1"/>
    <xf numFmtId="165" fontId="2" fillId="0" borderId="3" xfId="130" applyNumberFormat="1" applyFont="1" applyFill="1" applyBorder="1"/>
    <xf numFmtId="164" fontId="2" fillId="0" borderId="3" xfId="130" applyFont="1" applyFill="1" applyBorder="1"/>
    <xf numFmtId="164" fontId="12" fillId="43" borderId="3" xfId="1" applyFont="1" applyFill="1" applyBorder="1"/>
    <xf numFmtId="164" fontId="12" fillId="42" borderId="0" xfId="1" applyFont="1" applyFill="1" applyBorder="1"/>
    <xf numFmtId="0" fontId="14" fillId="43" borderId="3" xfId="0" applyFont="1" applyFill="1" applyBorder="1"/>
    <xf numFmtId="164" fontId="12" fillId="0" borderId="0" xfId="1" applyNumberFormat="1" applyFont="1" applyFill="1" applyBorder="1"/>
    <xf numFmtId="165" fontId="12" fillId="43" borderId="3" xfId="1" applyNumberFormat="1" applyFont="1" applyFill="1" applyBorder="1"/>
    <xf numFmtId="17" fontId="18" fillId="0" borderId="3" xfId="0" applyNumberFormat="1" applyFont="1" applyFill="1" applyBorder="1" applyAlignment="1">
      <alignment horizontal="left"/>
    </xf>
    <xf numFmtId="165" fontId="12" fillId="0" borderId="3" xfId="130" applyNumberFormat="1" applyFont="1" applyFill="1" applyBorder="1"/>
    <xf numFmtId="164" fontId="12" fillId="43" borderId="3" xfId="1" applyNumberFormat="1" applyFont="1" applyFill="1" applyBorder="1"/>
    <xf numFmtId="164" fontId="12" fillId="42" borderId="0" xfId="1" applyNumberFormat="1" applyFont="1" applyFill="1" applyBorder="1"/>
    <xf numFmtId="164" fontId="12" fillId="0" borderId="0" xfId="4" applyNumberFormat="1" applyFont="1" applyFill="1" applyBorder="1"/>
    <xf numFmtId="165" fontId="12" fillId="42" borderId="0" xfId="1" applyNumberFormat="1" applyFont="1" applyFill="1" applyBorder="1"/>
    <xf numFmtId="17" fontId="12" fillId="43" borderId="3" xfId="4" applyNumberFormat="1" applyFont="1" applyFill="1" applyBorder="1"/>
    <xf numFmtId="165" fontId="12" fillId="43" borderId="3" xfId="4" applyNumberFormat="1" applyFont="1" applyFill="1" applyBorder="1"/>
    <xf numFmtId="165" fontId="12" fillId="0" borderId="3" xfId="130" applyNumberFormat="1" applyFont="1" applyFill="1" applyBorder="1" applyAlignment="1">
      <alignment horizontal="center"/>
    </xf>
    <xf numFmtId="165" fontId="12" fillId="0" borderId="3" xfId="130" applyNumberFormat="1" applyFont="1" applyFill="1" applyBorder="1" applyAlignment="1">
      <alignment horizontal="center" vertical="center"/>
    </xf>
    <xf numFmtId="165" fontId="5" fillId="0" borderId="0" xfId="130" applyNumberFormat="1" applyFont="1" applyFill="1" applyBorder="1"/>
    <xf numFmtId="164" fontId="5" fillId="43" borderId="3" xfId="130" applyFont="1" applyFill="1" applyBorder="1"/>
    <xf numFmtId="165" fontId="6" fillId="43" borderId="3" xfId="1" applyNumberFormat="1" applyFont="1" applyFill="1" applyBorder="1" applyAlignment="1">
      <alignment horizontal="center" vertical="center"/>
    </xf>
    <xf numFmtId="165" fontId="12" fillId="43" borderId="3" xfId="1" applyNumberFormat="1" applyFont="1" applyFill="1" applyBorder="1" applyAlignment="1">
      <alignment horizontal="center" vertical="center"/>
    </xf>
    <xf numFmtId="165" fontId="6" fillId="43" borderId="3" xfId="130" applyNumberFormat="1" applyFont="1" applyFill="1" applyBorder="1"/>
    <xf numFmtId="4" fontId="12" fillId="0" borderId="0" xfId="4" applyNumberFormat="1" applyFont="1" applyFill="1"/>
    <xf numFmtId="164" fontId="6" fillId="43" borderId="3" xfId="1" applyNumberFormat="1" applyFont="1" applyFill="1" applyBorder="1"/>
    <xf numFmtId="165" fontId="2" fillId="0" borderId="3" xfId="130" applyNumberFormat="1" applyFont="1" applyFill="1" applyBorder="1" applyAlignment="1">
      <alignment horizontal="left" vertical="center"/>
    </xf>
    <xf numFmtId="165" fontId="12" fillId="43" borderId="3" xfId="130" applyNumberFormat="1" applyFont="1" applyFill="1" applyBorder="1"/>
    <xf numFmtId="165" fontId="12" fillId="43" borderId="3" xfId="1" applyNumberFormat="1" applyFont="1" applyFill="1" applyBorder="1" applyAlignment="1"/>
    <xf numFmtId="165" fontId="12" fillId="0" borderId="0" xfId="1" applyNumberFormat="1" applyFont="1" applyFill="1" applyBorder="1" applyAlignment="1"/>
    <xf numFmtId="164" fontId="12" fillId="43" borderId="3" xfId="4" applyNumberFormat="1" applyFont="1" applyFill="1" applyBorder="1"/>
    <xf numFmtId="164" fontId="6" fillId="43" borderId="3" xfId="1" applyFont="1" applyFill="1" applyBorder="1"/>
    <xf numFmtId="0" fontId="14" fillId="43" borderId="3" xfId="0" applyFont="1" applyFill="1" applyBorder="1" applyAlignment="1">
      <alignment horizontal="center"/>
    </xf>
    <xf numFmtId="165" fontId="12" fillId="43" borderId="3" xfId="1" applyNumberFormat="1" applyFont="1" applyFill="1" applyBorder="1" applyAlignment="1">
      <alignment horizontal="left"/>
    </xf>
    <xf numFmtId="165" fontId="12" fillId="0" borderId="0" xfId="1" applyNumberFormat="1" applyFont="1" applyFill="1" applyBorder="1" applyAlignment="1">
      <alignment horizontal="left"/>
    </xf>
    <xf numFmtId="164" fontId="14" fillId="43" borderId="3" xfId="1" applyFont="1" applyFill="1" applyBorder="1"/>
    <xf numFmtId="168" fontId="12" fillId="43" borderId="3" xfId="4" applyNumberFormat="1" applyFont="1" applyFill="1" applyBorder="1"/>
    <xf numFmtId="164" fontId="12" fillId="43" borderId="3" xfId="130" applyFont="1" applyFill="1" applyBorder="1"/>
    <xf numFmtId="165" fontId="12" fillId="43" borderId="3" xfId="130" applyNumberFormat="1" applyFont="1" applyFill="1" applyBorder="1" applyAlignment="1">
      <alignment horizontal="center" vertical="center"/>
    </xf>
    <xf numFmtId="165" fontId="2" fillId="0" borderId="3" xfId="130" applyNumberFormat="1" applyFont="1" applyFill="1" applyBorder="1" applyAlignment="1">
      <alignment horizontal="center" vertical="center"/>
    </xf>
    <xf numFmtId="165" fontId="16" fillId="43" borderId="3" xfId="1" applyNumberFormat="1" applyFont="1" applyFill="1" applyBorder="1"/>
    <xf numFmtId="165" fontId="16" fillId="0" borderId="0" xfId="1" applyNumberFormat="1" applyFont="1" applyFill="1" applyBorder="1"/>
    <xf numFmtId="4" fontId="12" fillId="43" borderId="3" xfId="1" applyNumberFormat="1" applyFont="1" applyFill="1" applyBorder="1"/>
    <xf numFmtId="164" fontId="12" fillId="0" borderId="3" xfId="1" applyNumberFormat="1" applyFont="1" applyFill="1" applyBorder="1"/>
    <xf numFmtId="164" fontId="12" fillId="0" borderId="3" xfId="1" applyNumberFormat="1" applyFont="1" applyFill="1" applyBorder="1"/>
    <xf numFmtId="165" fontId="2" fillId="43" borderId="3" xfId="1" applyNumberFormat="1" applyFont="1" applyFill="1" applyBorder="1"/>
    <xf numFmtId="17" fontId="2" fillId="0" borderId="3" xfId="2" applyNumberFormat="1" applyFont="1" applyFill="1" applyBorder="1"/>
    <xf numFmtId="0" fontId="2" fillId="0" borderId="3" xfId="2" applyFont="1" applyFill="1" applyBorder="1"/>
    <xf numFmtId="165" fontId="2" fillId="0" borderId="3" xfId="2" applyNumberFormat="1" applyFont="1" applyFill="1" applyBorder="1"/>
    <xf numFmtId="165" fontId="2" fillId="0" borderId="0" xfId="2" applyNumberFormat="1" applyFont="1" applyFill="1" applyBorder="1"/>
    <xf numFmtId="165" fontId="12" fillId="0" borderId="0" xfId="2" applyNumberFormat="1" applyFont="1" applyFill="1" applyBorder="1"/>
    <xf numFmtId="165" fontId="12" fillId="0" borderId="3" xfId="4" applyNumberFormat="1" applyFont="1" applyFill="1" applyBorder="1"/>
    <xf numFmtId="0" fontId="2" fillId="0" borderId="0" xfId="4" applyFont="1" applyFill="1" applyAlignment="1">
      <alignment wrapText="1"/>
    </xf>
    <xf numFmtId="165" fontId="12" fillId="0" borderId="3" xfId="147" applyNumberFormat="1" applyFont="1" applyFill="1" applyBorder="1"/>
    <xf numFmtId="165" fontId="2" fillId="0" borderId="3" xfId="147" applyNumberFormat="1" applyFont="1" applyFill="1" applyBorder="1"/>
    <xf numFmtId="164" fontId="2" fillId="0" borderId="3" xfId="147" applyFont="1" applyFill="1" applyBorder="1"/>
    <xf numFmtId="165" fontId="2" fillId="0" borderId="3" xfId="147" applyNumberFormat="1" applyFont="1" applyFill="1" applyBorder="1" applyAlignment="1">
      <alignment horizontal="center" vertical="center"/>
    </xf>
    <xf numFmtId="165" fontId="12" fillId="0" borderId="3" xfId="147" applyNumberFormat="1" applyFont="1" applyFill="1" applyBorder="1" applyAlignment="1">
      <alignment horizontal="center" vertical="center"/>
    </xf>
    <xf numFmtId="4" fontId="2" fillId="0" borderId="3" xfId="147" applyNumberFormat="1" applyFont="1" applyFill="1" applyBorder="1"/>
    <xf numFmtId="0" fontId="2" fillId="0" borderId="3" xfId="0" applyFont="1" applyFill="1" applyBorder="1" applyAlignment="1">
      <alignment horizontal="left"/>
    </xf>
    <xf numFmtId="17" fontId="19" fillId="0" borderId="3" xfId="0" applyNumberFormat="1" applyFont="1" applyFill="1" applyBorder="1" applyAlignment="1">
      <alignment horizontal="right"/>
    </xf>
    <xf numFmtId="165" fontId="12" fillId="0" borderId="3" xfId="130" applyNumberFormat="1" applyFont="1" applyFill="1" applyBorder="1" applyAlignment="1">
      <alignment horizontal="left" vertical="center"/>
    </xf>
    <xf numFmtId="17" fontId="12" fillId="0" borderId="3" xfId="0" applyNumberFormat="1" applyFont="1" applyFill="1" applyBorder="1"/>
    <xf numFmtId="165" fontId="2" fillId="0" borderId="3" xfId="130" applyNumberFormat="1" applyFont="1" applyFill="1" applyBorder="1" applyAlignment="1">
      <alignment horizontal="center"/>
    </xf>
    <xf numFmtId="171" fontId="19" fillId="42" borderId="3" xfId="146" applyNumberFormat="1" applyFont="1" applyFill="1" applyBorder="1" applyAlignment="1">
      <alignment horizontal="right"/>
    </xf>
    <xf numFmtId="0" fontId="12" fillId="0" borderId="3" xfId="0" applyFont="1" applyFill="1" applyBorder="1"/>
    <xf numFmtId="0" fontId="19" fillId="0" borderId="3" xfId="0" applyFont="1" applyBorder="1"/>
    <xf numFmtId="0" fontId="12" fillId="0" borderId="3" xfId="0" applyFont="1" applyFill="1" applyBorder="1" applyAlignment="1">
      <alignment horizontal="center"/>
    </xf>
    <xf numFmtId="17" fontId="2" fillId="0" borderId="3" xfId="0" applyNumberFormat="1" applyFont="1" applyFill="1" applyBorder="1" applyAlignment="1">
      <alignment horizontal="left"/>
    </xf>
    <xf numFmtId="17" fontId="50" fillId="0" borderId="3" xfId="0" applyNumberFormat="1" applyFont="1" applyFill="1" applyBorder="1" applyAlignment="1">
      <alignment horizontal="right"/>
    </xf>
    <xf numFmtId="17" fontId="49" fillId="0" borderId="3" xfId="0" applyNumberFormat="1" applyFont="1" applyFill="1" applyBorder="1" applyAlignment="1">
      <alignment horizontal="right"/>
    </xf>
    <xf numFmtId="164" fontId="19" fillId="0" borderId="3" xfId="130" applyFont="1" applyBorder="1"/>
    <xf numFmtId="0" fontId="19" fillId="0" borderId="3" xfId="0" applyFont="1" applyFill="1" applyBorder="1" applyAlignment="1">
      <alignment horizontal="center"/>
    </xf>
    <xf numFmtId="0" fontId="19" fillId="0" borderId="3" xfId="0" applyNumberFormat="1" applyFont="1" applyFill="1" applyBorder="1"/>
    <xf numFmtId="4" fontId="19" fillId="0" borderId="3" xfId="0" applyNumberFormat="1" applyFont="1" applyBorder="1"/>
    <xf numFmtId="165" fontId="12" fillId="0" borderId="3" xfId="147" applyNumberFormat="1" applyFont="1" applyFill="1" applyBorder="1" applyAlignment="1">
      <alignment horizontal="left" vertical="center"/>
    </xf>
    <xf numFmtId="1" fontId="5" fillId="7" borderId="3" xfId="0" applyNumberFormat="1" applyFont="1" applyFill="1" applyBorder="1" applyAlignment="1">
      <alignment horizontal="center" vertical="center"/>
    </xf>
    <xf numFmtId="0" fontId="51" fillId="0" borderId="0" xfId="4" applyFont="1" applyFill="1"/>
    <xf numFmtId="165" fontId="51" fillId="0" borderId="3" xfId="1" applyNumberFormat="1" applyFont="1" applyFill="1" applyBorder="1"/>
    <xf numFmtId="0" fontId="51" fillId="0" borderId="3" xfId="4" applyFont="1" applyFill="1" applyBorder="1"/>
    <xf numFmtId="0" fontId="2" fillId="0" borderId="0" xfId="4" applyNumberFormat="1" applyFont="1" applyFill="1"/>
    <xf numFmtId="0" fontId="12" fillId="0" borderId="0" xfId="4" applyNumberFormat="1" applyFont="1" applyFill="1"/>
    <xf numFmtId="0" fontId="18" fillId="0" borderId="0" xfId="130" applyNumberFormat="1" applyFont="1" applyFill="1" applyBorder="1"/>
    <xf numFmtId="164" fontId="19" fillId="0" borderId="3" xfId="130" applyFont="1" applyFill="1" applyBorder="1" applyAlignment="1">
      <alignment horizontal="center"/>
    </xf>
    <xf numFmtId="165" fontId="12" fillId="0" borderId="3" xfId="148" applyNumberFormat="1" applyFont="1" applyFill="1" applyBorder="1"/>
    <xf numFmtId="165" fontId="2" fillId="0" borderId="4" xfId="148" applyNumberFormat="1" applyFont="1" applyFill="1" applyBorder="1"/>
    <xf numFmtId="164" fontId="2" fillId="0" borderId="4" xfId="148" applyFont="1" applyFill="1" applyBorder="1"/>
    <xf numFmtId="0" fontId="2" fillId="0" borderId="0" xfId="4" applyNumberFormat="1" applyFont="1" applyFill="1" applyAlignment="1">
      <alignment horizontal="center" vertical="center"/>
    </xf>
    <xf numFmtId="165" fontId="12" fillId="0" borderId="3" xfId="148" applyNumberFormat="1" applyFont="1" applyFill="1" applyBorder="1" applyAlignment="1">
      <alignment horizontal="center" vertical="center"/>
    </xf>
    <xf numFmtId="165" fontId="2" fillId="0" borderId="3" xfId="148" applyNumberFormat="1" applyFont="1" applyFill="1" applyBorder="1" applyAlignment="1">
      <alignment horizontal="center" vertical="center"/>
    </xf>
    <xf numFmtId="164" fontId="2" fillId="0" borderId="3" xfId="148" applyFont="1" applyFill="1" applyBorder="1" applyAlignment="1">
      <alignment horizontal="center" vertical="center"/>
    </xf>
    <xf numFmtId="164" fontId="2" fillId="0" borderId="3" xfId="148" applyFont="1" applyFill="1" applyBorder="1"/>
    <xf numFmtId="164" fontId="19" fillId="0" borderId="3" xfId="148" applyFont="1" applyFill="1" applyBorder="1"/>
    <xf numFmtId="17" fontId="12" fillId="0" borderId="3" xfId="148" applyNumberFormat="1" applyFont="1" applyFill="1" applyBorder="1" applyAlignment="1">
      <alignment horizontal="left"/>
    </xf>
    <xf numFmtId="0" fontId="12" fillId="0" borderId="3" xfId="148" applyNumberFormat="1" applyFont="1" applyFill="1" applyBorder="1" applyAlignment="1">
      <alignment horizontal="left"/>
    </xf>
    <xf numFmtId="172" fontId="12" fillId="0" borderId="3" xfId="148" applyNumberFormat="1" applyFont="1" applyFill="1" applyBorder="1"/>
    <xf numFmtId="165" fontId="2" fillId="0" borderId="3" xfId="148" applyNumberFormat="1" applyFont="1" applyFill="1" applyBorder="1"/>
    <xf numFmtId="172" fontId="2" fillId="0" borderId="3" xfId="148" applyNumberFormat="1" applyFont="1" applyFill="1" applyBorder="1"/>
    <xf numFmtId="0" fontId="2" fillId="0" borderId="0" xfId="4" applyNumberFormat="1" applyFont="1" applyFill="1" applyBorder="1"/>
    <xf numFmtId="165" fontId="12" fillId="0" borderId="3" xfId="148" applyNumberFormat="1" applyFont="1" applyFill="1" applyBorder="1" applyAlignment="1">
      <alignment horizontal="left" vertical="center"/>
    </xf>
    <xf numFmtId="4" fontId="2" fillId="0" borderId="3" xfId="148" applyNumberFormat="1" applyFont="1" applyFill="1" applyBorder="1"/>
    <xf numFmtId="4" fontId="19" fillId="0" borderId="3" xfId="148" applyNumberFormat="1" applyFont="1" applyFill="1" applyBorder="1"/>
    <xf numFmtId="4" fontId="18" fillId="0" borderId="3" xfId="148" applyNumberFormat="1" applyFont="1" applyFill="1" applyBorder="1"/>
    <xf numFmtId="164" fontId="18" fillId="0" borderId="3" xfId="148" applyFont="1" applyFill="1" applyBorder="1"/>
    <xf numFmtId="164" fontId="22" fillId="0" borderId="3" xfId="148" applyFont="1" applyFill="1" applyBorder="1" applyAlignment="1"/>
    <xf numFmtId="4" fontId="12" fillId="0" borderId="3" xfId="148" applyNumberFormat="1" applyFont="1" applyFill="1" applyBorder="1"/>
    <xf numFmtId="0" fontId="19" fillId="0" borderId="3" xfId="0" applyFont="1" applyBorder="1" applyProtection="1">
      <protection locked="0" hidden="1"/>
    </xf>
    <xf numFmtId="165" fontId="5" fillId="0" borderId="3" xfId="148" applyNumberFormat="1" applyFont="1" applyFill="1" applyBorder="1"/>
    <xf numFmtId="164" fontId="2" fillId="0" borderId="0" xfId="148" applyFont="1" applyFill="1" applyBorder="1"/>
    <xf numFmtId="164" fontId="12" fillId="0" borderId="3" xfId="148" applyFont="1" applyFill="1" applyBorder="1"/>
    <xf numFmtId="164" fontId="2" fillId="3" borderId="3" xfId="148" applyFont="1" applyFill="1" applyBorder="1"/>
    <xf numFmtId="165" fontId="2" fillId="0" borderId="26" xfId="148" applyNumberFormat="1" applyFont="1" applyFill="1" applyBorder="1"/>
    <xf numFmtId="165" fontId="6" fillId="0" borderId="12" xfId="148" applyNumberFormat="1" applyFont="1" applyFill="1" applyBorder="1"/>
    <xf numFmtId="165" fontId="5" fillId="0" borderId="4" xfId="148" applyNumberFormat="1" applyFont="1" applyFill="1" applyBorder="1"/>
    <xf numFmtId="165" fontId="6" fillId="0" borderId="0" xfId="148" applyNumberFormat="1" applyFont="1" applyFill="1" applyBorder="1"/>
    <xf numFmtId="165" fontId="6" fillId="0" borderId="4" xfId="148" applyNumberFormat="1" applyFont="1" applyFill="1" applyBorder="1"/>
    <xf numFmtId="17" fontId="20" fillId="0" borderId="0" xfId="2" applyNumberFormat="1" applyFont="1" applyFill="1"/>
    <xf numFmtId="165" fontId="5" fillId="0" borderId="26" xfId="148" applyNumberFormat="1" applyFont="1" applyFill="1" applyBorder="1"/>
    <xf numFmtId="0" fontId="2" fillId="0" borderId="0" xfId="0" applyFont="1" applyFill="1" applyBorder="1" applyAlignment="1">
      <alignment horizontal="left"/>
    </xf>
    <xf numFmtId="0" fontId="2" fillId="0" borderId="0" xfId="0" applyNumberFormat="1" applyFont="1" applyFill="1" applyBorder="1" applyAlignment="1">
      <alignment horizontal="left"/>
    </xf>
    <xf numFmtId="173" fontId="19" fillId="0" borderId="3" xfId="0" applyNumberFormat="1" applyFont="1" applyBorder="1" applyAlignment="1">
      <alignment horizontal="center"/>
    </xf>
    <xf numFmtId="164" fontId="2" fillId="0" borderId="0" xfId="4" applyNumberFormat="1" applyFont="1" applyFill="1"/>
    <xf numFmtId="165" fontId="2" fillId="0" borderId="3" xfId="148" applyNumberFormat="1" applyFont="1" applyFill="1" applyBorder="1" applyAlignment="1">
      <alignment horizontal="left" vertical="center"/>
    </xf>
    <xf numFmtId="164" fontId="18" fillId="0" borderId="3" xfId="152" applyFont="1" applyBorder="1"/>
    <xf numFmtId="164" fontId="19" fillId="0" borderId="3" xfId="152" applyFont="1" applyBorder="1" applyAlignment="1" applyProtection="1">
      <alignment horizontal="right"/>
      <protection locked="0" hidden="1"/>
    </xf>
    <xf numFmtId="0" fontId="12" fillId="3" borderId="3" xfId="4" applyFont="1" applyFill="1" applyBorder="1"/>
    <xf numFmtId="0" fontId="6" fillId="3" borderId="3" xfId="0" applyFont="1" applyFill="1" applyBorder="1"/>
    <xf numFmtId="17" fontId="14" fillId="3" borderId="3" xfId="0" applyNumberFormat="1" applyFont="1" applyFill="1" applyBorder="1" applyAlignment="1">
      <alignment horizontal="left"/>
    </xf>
    <xf numFmtId="165" fontId="6" fillId="3" borderId="3" xfId="1" applyNumberFormat="1" applyFont="1" applyFill="1" applyBorder="1"/>
    <xf numFmtId="165" fontId="12" fillId="3" borderId="3" xfId="1" applyNumberFormat="1" applyFont="1" applyFill="1" applyBorder="1" applyAlignment="1">
      <alignment horizontal="center"/>
    </xf>
    <xf numFmtId="164" fontId="6" fillId="3" borderId="3" xfId="1" applyNumberFormat="1" applyFont="1" applyFill="1" applyBorder="1"/>
    <xf numFmtId="165" fontId="6" fillId="3" borderId="3" xfId="1" applyNumberFormat="1" applyFont="1" applyFill="1" applyBorder="1" applyAlignment="1">
      <alignment horizontal="center" vertical="center"/>
    </xf>
    <xf numFmtId="165" fontId="12" fillId="3" borderId="3" xfId="1" applyNumberFormat="1" applyFont="1" applyFill="1" applyBorder="1"/>
    <xf numFmtId="165" fontId="12" fillId="3" borderId="3" xfId="1" applyNumberFormat="1" applyFont="1" applyFill="1" applyBorder="1" applyAlignment="1">
      <alignment horizontal="center" vertical="center"/>
    </xf>
    <xf numFmtId="164" fontId="12" fillId="3" borderId="3" xfId="1" applyFont="1" applyFill="1" applyBorder="1" applyAlignment="1">
      <alignment horizontal="center" vertical="center"/>
    </xf>
    <xf numFmtId="164" fontId="2" fillId="0" borderId="0" xfId="1" applyFont="1" applyFill="1" applyBorder="1" applyAlignment="1">
      <alignment horizontal="left"/>
    </xf>
    <xf numFmtId="168" fontId="2" fillId="0" borderId="3" xfId="1" applyNumberFormat="1" applyFont="1" applyFill="1" applyBorder="1"/>
    <xf numFmtId="164" fontId="19" fillId="0" borderId="3" xfId="1" applyFont="1" applyFill="1" applyBorder="1"/>
    <xf numFmtId="165" fontId="12" fillId="0" borderId="3" xfId="1" applyNumberFormat="1" applyFont="1" applyFill="1" applyBorder="1" applyAlignment="1">
      <alignment horizontal="center" vertical="center"/>
    </xf>
    <xf numFmtId="165" fontId="19" fillId="0" borderId="3" xfId="1" applyNumberFormat="1" applyFont="1" applyFill="1" applyBorder="1"/>
    <xf numFmtId="0" fontId="19" fillId="0" borderId="3" xfId="0" applyFont="1" applyBorder="1" applyAlignment="1" applyProtection="1">
      <alignment horizontal="right"/>
      <protection locked="0" hidden="1"/>
    </xf>
    <xf numFmtId="0" fontId="19" fillId="0" borderId="3" xfId="0" applyFont="1" applyFill="1" applyBorder="1" applyProtection="1">
      <protection locked="0"/>
    </xf>
    <xf numFmtId="165" fontId="19" fillId="0" borderId="3" xfId="155" applyNumberFormat="1" applyFont="1" applyFill="1" applyBorder="1" applyProtection="1">
      <protection hidden="1"/>
    </xf>
    <xf numFmtId="0" fontId="19" fillId="0" borderId="3" xfId="6" applyFont="1" applyFill="1" applyBorder="1"/>
    <xf numFmtId="0" fontId="19" fillId="0" borderId="3" xfId="0" applyFont="1" applyBorder="1" applyProtection="1">
      <protection locked="0"/>
    </xf>
    <xf numFmtId="164" fontId="19" fillId="0" borderId="3" xfId="153" applyFont="1" applyBorder="1"/>
    <xf numFmtId="17" fontId="19" fillId="0" borderId="3" xfId="6" applyNumberFormat="1" applyFont="1" applyFill="1" applyBorder="1" applyAlignment="1">
      <alignment horizontal="left"/>
    </xf>
    <xf numFmtId="164" fontId="19" fillId="0" borderId="3" xfId="154" applyFont="1" applyFill="1" applyBorder="1"/>
    <xf numFmtId="164" fontId="19" fillId="0" borderId="3" xfId="148" applyFont="1" applyFill="1" applyBorder="1" applyAlignment="1">
      <alignment horizontal="center" vertical="center"/>
    </xf>
    <xf numFmtId="164" fontId="18" fillId="0" borderId="3" xfId="145" applyFont="1" applyFill="1" applyBorder="1"/>
    <xf numFmtId="0" fontId="10" fillId="0" borderId="0" xfId="4"/>
    <xf numFmtId="165" fontId="5" fillId="46" borderId="3" xfId="1" applyNumberFormat="1" applyFont="1" applyFill="1" applyBorder="1"/>
    <xf numFmtId="0" fontId="18" fillId="47" borderId="3" xfId="2" applyFont="1" applyFill="1" applyBorder="1" applyAlignment="1">
      <alignment horizontal="center" vertical="center" wrapText="1"/>
    </xf>
    <xf numFmtId="0" fontId="16" fillId="47" borderId="3" xfId="2" applyFont="1" applyFill="1" applyBorder="1" applyAlignment="1">
      <alignment horizontal="center" vertical="center" wrapText="1"/>
    </xf>
    <xf numFmtId="0" fontId="12" fillId="47" borderId="3" xfId="2" applyFont="1" applyFill="1" applyBorder="1" applyAlignment="1">
      <alignment horizontal="center" vertical="center" wrapText="1"/>
    </xf>
    <xf numFmtId="164" fontId="12" fillId="47" borderId="3" xfId="1" applyFont="1" applyFill="1" applyBorder="1" applyAlignment="1">
      <alignment horizontal="center" vertical="center" wrapText="1"/>
    </xf>
    <xf numFmtId="164" fontId="2" fillId="0" borderId="3" xfId="4" applyNumberFormat="1" applyFont="1" applyFill="1" applyBorder="1"/>
    <xf numFmtId="164" fontId="12" fillId="0" borderId="3" xfId="4" applyNumberFormat="1" applyFont="1" applyFill="1" applyBorder="1"/>
    <xf numFmtId="165" fontId="6" fillId="43" borderId="3" xfId="1" applyNumberFormat="1" applyFont="1" applyFill="1" applyBorder="1" applyAlignment="1">
      <alignment horizontal="center"/>
    </xf>
    <xf numFmtId="165" fontId="12" fillId="43" borderId="3" xfId="1" applyNumberFormat="1" applyFont="1" applyFill="1" applyBorder="1" applyAlignment="1">
      <alignment horizontal="center"/>
    </xf>
    <xf numFmtId="165" fontId="6" fillId="43" borderId="3" xfId="1" applyNumberFormat="1" applyFont="1" applyFill="1" applyBorder="1" applyAlignment="1">
      <alignment horizontal="center"/>
    </xf>
    <xf numFmtId="165" fontId="12" fillId="43" borderId="3" xfId="1" applyNumberFormat="1" applyFont="1" applyFill="1" applyBorder="1" applyAlignment="1">
      <alignment horizontal="center"/>
    </xf>
    <xf numFmtId="0" fontId="6" fillId="43" borderId="3" xfId="0" applyFont="1" applyFill="1" applyBorder="1" applyAlignment="1">
      <alignment horizontal="center"/>
    </xf>
    <xf numFmtId="0" fontId="6" fillId="0" borderId="3" xfId="1" applyNumberFormat="1" applyFont="1" applyFill="1" applyBorder="1" applyAlignment="1">
      <alignment horizontal="center"/>
    </xf>
    <xf numFmtId="1" fontId="6" fillId="0" borderId="0" xfId="2" applyNumberFormat="1" applyFont="1" applyBorder="1" applyAlignment="1">
      <alignment wrapText="1"/>
    </xf>
    <xf numFmtId="0" fontId="6" fillId="0" borderId="0" xfId="2" applyFont="1" applyBorder="1" applyAlignment="1">
      <alignment wrapText="1"/>
    </xf>
    <xf numFmtId="0" fontId="6" fillId="0" borderId="0" xfId="2" applyFont="1" applyBorder="1" applyAlignment="1">
      <alignment horizontal="center"/>
    </xf>
    <xf numFmtId="0" fontId="6" fillId="0" borderId="5" xfId="2" applyFont="1" applyBorder="1" applyAlignment="1">
      <alignment horizontal="center" wrapText="1"/>
    </xf>
    <xf numFmtId="43" fontId="2" fillId="0" borderId="3" xfId="1" applyNumberFormat="1" applyFont="1" applyFill="1" applyBorder="1"/>
    <xf numFmtId="43" fontId="2" fillId="0" borderId="3" xfId="0" applyNumberFormat="1" applyFont="1" applyFill="1" applyBorder="1" applyAlignment="1">
      <alignment horizontal="left"/>
    </xf>
    <xf numFmtId="43" fontId="52" fillId="45" borderId="3" xfId="0" applyNumberFormat="1" applyFont="1" applyFill="1" applyBorder="1"/>
    <xf numFmtId="43" fontId="2" fillId="0" borderId="3" xfId="4" applyNumberFormat="1" applyFont="1" applyFill="1" applyBorder="1"/>
    <xf numFmtId="43" fontId="2" fillId="0" borderId="3" xfId="130" applyNumberFormat="1" applyFont="1" applyFill="1" applyBorder="1"/>
    <xf numFmtId="43" fontId="49" fillId="0" borderId="3" xfId="130" applyNumberFormat="1" applyFont="1" applyFill="1" applyBorder="1"/>
    <xf numFmtId="43" fontId="2" fillId="0" borderId="0" xfId="4" applyNumberFormat="1" applyFont="1" applyFill="1"/>
    <xf numFmtId="43" fontId="19" fillId="0" borderId="3" xfId="0" applyNumberFormat="1" applyFont="1" applyBorder="1"/>
    <xf numFmtId="43" fontId="2" fillId="0" borderId="3" xfId="130" applyNumberFormat="1" applyFont="1" applyFill="1" applyBorder="1" applyAlignment="1">
      <alignment horizontal="center" vertical="center"/>
    </xf>
    <xf numFmtId="43" fontId="2" fillId="0" borderId="3" xfId="148" applyNumberFormat="1" applyFont="1" applyFill="1" applyBorder="1"/>
    <xf numFmtId="43" fontId="19" fillId="0" borderId="3" xfId="0" applyNumberFormat="1" applyFont="1" applyBorder="1" applyProtection="1">
      <protection locked="0" hidden="1"/>
    </xf>
    <xf numFmtId="43" fontId="2" fillId="0" borderId="3" xfId="148" applyNumberFormat="1" applyFont="1" applyFill="1" applyBorder="1" applyAlignment="1">
      <alignment horizontal="center" vertical="center"/>
    </xf>
    <xf numFmtId="43" fontId="18" fillId="0" borderId="3" xfId="0" applyNumberFormat="1" applyFont="1" applyBorder="1"/>
    <xf numFmtId="43" fontId="12" fillId="0" borderId="3" xfId="148" applyNumberFormat="1" applyFont="1" applyFill="1" applyBorder="1"/>
    <xf numFmtId="43" fontId="12" fillId="0" borderId="3" xfId="130" applyNumberFormat="1" applyFont="1" applyFill="1" applyBorder="1"/>
    <xf numFmtId="43" fontId="50" fillId="0" borderId="3" xfId="148" applyNumberFormat="1" applyFont="1" applyFill="1" applyBorder="1"/>
    <xf numFmtId="43" fontId="12" fillId="0" borderId="3" xfId="148" applyNumberFormat="1" applyFont="1" applyFill="1" applyBorder="1" applyAlignment="1">
      <alignment horizontal="center" vertical="center"/>
    </xf>
    <xf numFmtId="43" fontId="12" fillId="0" borderId="3" xfId="4" applyNumberFormat="1" applyFont="1" applyFill="1" applyBorder="1"/>
    <xf numFmtId="43" fontId="18" fillId="0" borderId="3" xfId="0" applyNumberFormat="1" applyFont="1" applyFill="1" applyBorder="1"/>
    <xf numFmtId="43" fontId="2" fillId="0" borderId="3" xfId="147" applyNumberFormat="1" applyFont="1" applyFill="1" applyBorder="1" applyAlignment="1">
      <alignment horizontal="left"/>
    </xf>
    <xf numFmtId="43" fontId="2" fillId="0" borderId="3" xfId="147" applyNumberFormat="1" applyFont="1" applyFill="1" applyBorder="1" applyAlignment="1">
      <alignment horizontal="center" vertical="center"/>
    </xf>
    <xf numFmtId="43" fontId="2" fillId="0" borderId="0" xfId="2" applyNumberFormat="1" applyFont="1" applyFill="1"/>
    <xf numFmtId="43" fontId="12" fillId="3" borderId="0" xfId="2" applyNumberFormat="1" applyFont="1" applyFill="1"/>
    <xf numFmtId="43" fontId="2" fillId="3" borderId="0" xfId="2" applyNumberFormat="1" applyFont="1" applyFill="1"/>
    <xf numFmtId="43" fontId="12" fillId="0" borderId="0" xfId="2" applyNumberFormat="1" applyFont="1" applyFill="1"/>
    <xf numFmtId="43" fontId="6" fillId="44" borderId="3" xfId="1" applyNumberFormat="1" applyFont="1" applyFill="1" applyBorder="1"/>
  </cellXfs>
  <cellStyles count="156">
    <cellStyle name="20% - Accent1" xfId="38" builtinId="30" customBuiltin="1"/>
    <cellStyle name="20% - Accent1 2" xfId="75" xr:uid="{00000000-0005-0000-0000-000001000000}"/>
    <cellStyle name="20% - Accent1 2 2" xfId="76" xr:uid="{00000000-0005-0000-0000-000002000000}"/>
    <cellStyle name="20% - Accent2" xfId="41" builtinId="34" customBuiltin="1"/>
    <cellStyle name="20% - Accent2 2" xfId="77" xr:uid="{00000000-0005-0000-0000-000004000000}"/>
    <cellStyle name="20% - Accent2 2 2" xfId="78" xr:uid="{00000000-0005-0000-0000-000005000000}"/>
    <cellStyle name="20% - Accent3" xfId="44" builtinId="38" customBuiltin="1"/>
    <cellStyle name="20% - Accent3 2" xfId="79" xr:uid="{00000000-0005-0000-0000-000007000000}"/>
    <cellStyle name="20% - Accent3 2 2" xfId="80" xr:uid="{00000000-0005-0000-0000-000008000000}"/>
    <cellStyle name="20% - Accent4" xfId="47" builtinId="42" customBuiltin="1"/>
    <cellStyle name="20% - Accent4 2" xfId="81" xr:uid="{00000000-0005-0000-0000-00000A000000}"/>
    <cellStyle name="20% - Accent4 2 2" xfId="82" xr:uid="{00000000-0005-0000-0000-00000B000000}"/>
    <cellStyle name="20% - Accent5" xfId="50" builtinId="46" customBuiltin="1"/>
    <cellStyle name="20% - Accent5 2" xfId="83" xr:uid="{00000000-0005-0000-0000-00000D000000}"/>
    <cellStyle name="20% - Accent5 2 2" xfId="84" xr:uid="{00000000-0005-0000-0000-00000E000000}"/>
    <cellStyle name="20% - Accent6" xfId="53" builtinId="50" customBuiltin="1"/>
    <cellStyle name="20% - Accent6 2" xfId="85" xr:uid="{00000000-0005-0000-0000-000010000000}"/>
    <cellStyle name="20% - Accent6 2 2" xfId="86" xr:uid="{00000000-0005-0000-0000-000011000000}"/>
    <cellStyle name="40% - Accent1" xfId="39" builtinId="31" customBuiltin="1"/>
    <cellStyle name="40% - Accent1 2" xfId="87" xr:uid="{00000000-0005-0000-0000-000013000000}"/>
    <cellStyle name="40% - Accent1 2 2" xfId="88" xr:uid="{00000000-0005-0000-0000-000014000000}"/>
    <cellStyle name="40% - Accent2" xfId="42" builtinId="35" customBuiltin="1"/>
    <cellStyle name="40% - Accent2 2" xfId="89" xr:uid="{00000000-0005-0000-0000-000016000000}"/>
    <cellStyle name="40% - Accent2 2 2" xfId="90" xr:uid="{00000000-0005-0000-0000-000017000000}"/>
    <cellStyle name="40% - Accent3" xfId="45" builtinId="39" customBuiltin="1"/>
    <cellStyle name="40% - Accent3 2" xfId="91" xr:uid="{00000000-0005-0000-0000-000019000000}"/>
    <cellStyle name="40% - Accent3 2 2" xfId="92" xr:uid="{00000000-0005-0000-0000-00001A000000}"/>
    <cellStyle name="40% - Accent4" xfId="48" builtinId="43" customBuiltin="1"/>
    <cellStyle name="40% - Accent4 2" xfId="93" xr:uid="{00000000-0005-0000-0000-00001C000000}"/>
    <cellStyle name="40% - Accent4 2 2" xfId="94" xr:uid="{00000000-0005-0000-0000-00001D000000}"/>
    <cellStyle name="40% - Accent5" xfId="51" builtinId="47" customBuiltin="1"/>
    <cellStyle name="40% - Accent5 2" xfId="95" xr:uid="{00000000-0005-0000-0000-00001F000000}"/>
    <cellStyle name="40% - Accent5 2 2" xfId="96" xr:uid="{00000000-0005-0000-0000-000020000000}"/>
    <cellStyle name="40% - Accent6" xfId="54" builtinId="51" customBuiltin="1"/>
    <cellStyle name="40% - Accent6 2" xfId="97" xr:uid="{00000000-0005-0000-0000-000022000000}"/>
    <cellStyle name="40% - Accent6 2 2" xfId="98" xr:uid="{00000000-0005-0000-0000-000023000000}"/>
    <cellStyle name="60% - Accent1" xfId="137" builtinId="32" customBuiltin="1"/>
    <cellStyle name="60% - Accent1 2" xfId="58" xr:uid="{00000000-0005-0000-0000-000025000000}"/>
    <cellStyle name="60% - Accent2" xfId="138" builtinId="36" customBuiltin="1"/>
    <cellStyle name="60% - Accent2 2" xfId="59" xr:uid="{00000000-0005-0000-0000-000027000000}"/>
    <cellStyle name="60% - Accent3" xfId="139" builtinId="40" customBuiltin="1"/>
    <cellStyle name="60% - Accent3 2" xfId="60" xr:uid="{00000000-0005-0000-0000-000029000000}"/>
    <cellStyle name="60% - Accent4" xfId="140" builtinId="44" customBuiltin="1"/>
    <cellStyle name="60% - Accent4 2" xfId="61" xr:uid="{00000000-0005-0000-0000-00002B000000}"/>
    <cellStyle name="60% - Accent5" xfId="141" builtinId="48" customBuiltin="1"/>
    <cellStyle name="60% - Accent5 2" xfId="62" xr:uid="{00000000-0005-0000-0000-00002D000000}"/>
    <cellStyle name="60% - Accent6" xfId="142" builtinId="52" customBuiltin="1"/>
    <cellStyle name="60% - Accent6 2" xfId="63" xr:uid="{00000000-0005-0000-0000-00002F000000}"/>
    <cellStyle name="Accent1" xfId="37" builtinId="29" customBuiltin="1"/>
    <cellStyle name="Accent1 2" xfId="99" xr:uid="{00000000-0005-0000-0000-000031000000}"/>
    <cellStyle name="Accent2" xfId="40" builtinId="33" customBuiltin="1"/>
    <cellStyle name="Accent2 2" xfId="100" xr:uid="{00000000-0005-0000-0000-000033000000}"/>
    <cellStyle name="Accent3" xfId="43" builtinId="37" customBuiltin="1"/>
    <cellStyle name="Accent3 2" xfId="101" xr:uid="{00000000-0005-0000-0000-000035000000}"/>
    <cellStyle name="Accent4" xfId="46" builtinId="41" customBuiltin="1"/>
    <cellStyle name="Accent4 2" xfId="102" xr:uid="{00000000-0005-0000-0000-000037000000}"/>
    <cellStyle name="Accent5" xfId="49" builtinId="45" customBuiltin="1"/>
    <cellStyle name="Accent5 2" xfId="103" xr:uid="{00000000-0005-0000-0000-000039000000}"/>
    <cellStyle name="Accent6" xfId="52" builtinId="49" customBuiltin="1"/>
    <cellStyle name="Accent6 2" xfId="104" xr:uid="{00000000-0005-0000-0000-00003B000000}"/>
    <cellStyle name="Bad" xfId="28" builtinId="27" customBuiltin="1"/>
    <cellStyle name="Bad 2" xfId="105" xr:uid="{00000000-0005-0000-0000-00003D000000}"/>
    <cellStyle name="Calculation" xfId="31" builtinId="22" customBuiltin="1"/>
    <cellStyle name="Calculation 2" xfId="106" xr:uid="{00000000-0005-0000-0000-00003F000000}"/>
    <cellStyle name="Check Cell" xfId="33" builtinId="23" customBuiltin="1"/>
    <cellStyle name="Check Cell 2" xfId="107" xr:uid="{00000000-0005-0000-0000-000041000000}"/>
    <cellStyle name="Comma" xfId="1" builtinId="3"/>
    <cellStyle name="Comma 10" xfId="12" xr:uid="{00000000-0005-0000-0000-000043000000}"/>
    <cellStyle name="Comma 10 3" xfId="147" xr:uid="{00000000-0005-0000-0000-000044000000}"/>
    <cellStyle name="Comma 10 4" xfId="152" xr:uid="{7EDF072F-5E32-4ADB-94A3-1339DC659EE1}"/>
    <cellStyle name="Comma 10 4 2" xfId="154" xr:uid="{C9C97D8E-B795-4688-8190-12CE0E814092}"/>
    <cellStyle name="Comma 11" xfId="74" xr:uid="{00000000-0005-0000-0000-000045000000}"/>
    <cellStyle name="Comma 12" xfId="130" xr:uid="{00000000-0005-0000-0000-000046000000}"/>
    <cellStyle name="Comma 13" xfId="131" xr:uid="{00000000-0005-0000-0000-000047000000}"/>
    <cellStyle name="Comma 14" xfId="133" xr:uid="{00000000-0005-0000-0000-000048000000}"/>
    <cellStyle name="Comma 15" xfId="135" xr:uid="{00000000-0005-0000-0000-000049000000}"/>
    <cellStyle name="Comma 16" xfId="143" xr:uid="{00000000-0005-0000-0000-00004A000000}"/>
    <cellStyle name="Comma 17" xfId="145" xr:uid="{00000000-0005-0000-0000-00004B000000}"/>
    <cellStyle name="Comma 18" xfId="148" xr:uid="{00000000-0005-0000-0000-00004C000000}"/>
    <cellStyle name="Comma 19" xfId="149" xr:uid="{00000000-0005-0000-0000-00004D000000}"/>
    <cellStyle name="Comma 2" xfId="3" xr:uid="{00000000-0005-0000-0000-00004E000000}"/>
    <cellStyle name="Comma 2 2" xfId="7" xr:uid="{00000000-0005-0000-0000-00004F000000}"/>
    <cellStyle name="Comma 2 2 2" xfId="15" xr:uid="{00000000-0005-0000-0000-000050000000}"/>
    <cellStyle name="Comma 2 2 2 2" xfId="19" xr:uid="{00000000-0005-0000-0000-000051000000}"/>
    <cellStyle name="Comma 2 2 2 3" xfId="70" xr:uid="{00000000-0005-0000-0000-000052000000}"/>
    <cellStyle name="Comma 2 2 2 4" xfId="144" xr:uid="{00000000-0005-0000-0000-000053000000}"/>
    <cellStyle name="Comma 2 3" xfId="8" xr:uid="{00000000-0005-0000-0000-000054000000}"/>
    <cellStyle name="Comma 2 4" xfId="18" xr:uid="{00000000-0005-0000-0000-000055000000}"/>
    <cellStyle name="Comma 2 5" xfId="22" xr:uid="{00000000-0005-0000-0000-000056000000}"/>
    <cellStyle name="Comma 2 6" xfId="56" xr:uid="{00000000-0005-0000-0000-000057000000}"/>
    <cellStyle name="Comma 2 7" xfId="65" xr:uid="{00000000-0005-0000-0000-000058000000}"/>
    <cellStyle name="Comma 2 8" xfId="132" xr:uid="{00000000-0005-0000-0000-000059000000}"/>
    <cellStyle name="Comma 2 9" xfId="134" xr:uid="{00000000-0005-0000-0000-00005A000000}"/>
    <cellStyle name="Comma 20" xfId="153" xr:uid="{B7B1F3DC-4BFD-4477-9D54-3115A459E857}"/>
    <cellStyle name="Comma 23" xfId="155" xr:uid="{E7A84953-A340-49CA-8A6A-77C0AFD212DC}"/>
    <cellStyle name="Comma 3" xfId="5" xr:uid="{00000000-0005-0000-0000-00005B000000}"/>
    <cellStyle name="Comma 3 2" xfId="109" xr:uid="{00000000-0005-0000-0000-00005C000000}"/>
    <cellStyle name="Comma 3 3" xfId="108" xr:uid="{00000000-0005-0000-0000-00005D000000}"/>
    <cellStyle name="Comma 3 6" xfId="146" xr:uid="{00000000-0005-0000-0000-00005E000000}"/>
    <cellStyle name="Comma 4" xfId="13" xr:uid="{00000000-0005-0000-0000-00005F000000}"/>
    <cellStyle name="Comma 4 2" xfId="111" xr:uid="{00000000-0005-0000-0000-000060000000}"/>
    <cellStyle name="Comma 4 3" xfId="110" xr:uid="{00000000-0005-0000-0000-000061000000}"/>
    <cellStyle name="Comma 5" xfId="17" xr:uid="{00000000-0005-0000-0000-000062000000}"/>
    <cellStyle name="Comma 6" xfId="21" xr:uid="{00000000-0005-0000-0000-000063000000}"/>
    <cellStyle name="Comma 7" xfId="55" xr:uid="{00000000-0005-0000-0000-000064000000}"/>
    <cellStyle name="Comma 8" xfId="64" xr:uid="{00000000-0005-0000-0000-000065000000}"/>
    <cellStyle name="Comma 9" xfId="71" xr:uid="{00000000-0005-0000-0000-000066000000}"/>
    <cellStyle name="Explanatory Text" xfId="35" builtinId="53" customBuiltin="1"/>
    <cellStyle name="Explanatory Text 2" xfId="112" xr:uid="{00000000-0005-0000-0000-000069000000}"/>
    <cellStyle name="Good" xfId="27" builtinId="26" customBuiltin="1"/>
    <cellStyle name="Good 2" xfId="113" xr:uid="{00000000-0005-0000-0000-00006B000000}"/>
    <cellStyle name="Heading 1" xfId="23" builtinId="16" customBuiltin="1"/>
    <cellStyle name="Heading 1 2" xfId="114" xr:uid="{00000000-0005-0000-0000-00006D000000}"/>
    <cellStyle name="Heading 2" xfId="24" builtinId="17" customBuiltin="1"/>
    <cellStyle name="Heading 2 2" xfId="115" xr:uid="{00000000-0005-0000-0000-00006F000000}"/>
    <cellStyle name="Heading 3" xfId="25" builtinId="18" customBuiltin="1"/>
    <cellStyle name="Heading 3 2" xfId="116" xr:uid="{00000000-0005-0000-0000-000071000000}"/>
    <cellStyle name="Heading 4" xfId="26" builtinId="19" customBuiltin="1"/>
    <cellStyle name="Heading 4 2" xfId="117" xr:uid="{00000000-0005-0000-0000-000073000000}"/>
    <cellStyle name="Input" xfId="29" builtinId="20" customBuiltin="1"/>
    <cellStyle name="Input 2" xfId="118" xr:uid="{00000000-0005-0000-0000-000075000000}"/>
    <cellStyle name="Linked Cell" xfId="32" builtinId="24" customBuiltin="1"/>
    <cellStyle name="Linked Cell 2" xfId="119" xr:uid="{00000000-0005-0000-0000-000077000000}"/>
    <cellStyle name="Neutral" xfId="136" builtinId="28" customBuiltin="1"/>
    <cellStyle name="Neutral 2" xfId="66" xr:uid="{00000000-0005-0000-0000-000079000000}"/>
    <cellStyle name="Normal" xfId="0" builtinId="0"/>
    <cellStyle name="Normal 10" xfId="20" xr:uid="{00000000-0005-0000-0000-00007B000000}"/>
    <cellStyle name="Normal 2" xfId="4" xr:uid="{00000000-0005-0000-0000-00007C000000}"/>
    <cellStyle name="Normal 2 2" xfId="9" xr:uid="{00000000-0005-0000-0000-00007D000000}"/>
    <cellStyle name="Normal 2 3" xfId="72" xr:uid="{00000000-0005-0000-0000-00007E000000}"/>
    <cellStyle name="Normal 2 4" xfId="151" xr:uid="{00000000-0005-0000-0000-00007F000000}"/>
    <cellStyle name="Normal 2 5 2" xfId="10" xr:uid="{00000000-0005-0000-0000-000080000000}"/>
    <cellStyle name="Normal 2 5 6" xfId="57" xr:uid="{00000000-0005-0000-0000-000081000000}"/>
    <cellStyle name="Normal 3" xfId="2" xr:uid="{00000000-0005-0000-0000-000082000000}"/>
    <cellStyle name="Normal 3 2" xfId="120" xr:uid="{00000000-0005-0000-0000-000083000000}"/>
    <cellStyle name="Normal 4" xfId="6" xr:uid="{00000000-0005-0000-0000-000084000000}"/>
    <cellStyle name="Normal 4 2" xfId="122" xr:uid="{00000000-0005-0000-0000-000085000000}"/>
    <cellStyle name="Normal 4 3" xfId="121" xr:uid="{00000000-0005-0000-0000-000086000000}"/>
    <cellStyle name="Normal 5" xfId="14" xr:uid="{00000000-0005-0000-0000-000087000000}"/>
    <cellStyle name="Normal 6" xfId="16" xr:uid="{00000000-0005-0000-0000-000088000000}"/>
    <cellStyle name="Normal 7" xfId="73" xr:uid="{00000000-0005-0000-0000-000089000000}"/>
    <cellStyle name="Normal 8" xfId="150" xr:uid="{00000000-0005-0000-0000-00008A000000}"/>
    <cellStyle name="Normal 9" xfId="11" xr:uid="{00000000-0005-0000-0000-00008B000000}"/>
    <cellStyle name="Note" xfId="69" builtinId="10" customBuiltin="1"/>
    <cellStyle name="Note 2" xfId="67" xr:uid="{00000000-0005-0000-0000-00008D000000}"/>
    <cellStyle name="Note 2 2" xfId="123" xr:uid="{00000000-0005-0000-0000-00008E000000}"/>
    <cellStyle name="Output" xfId="30" builtinId="21" customBuiltin="1"/>
    <cellStyle name="Output 2" xfId="124" xr:uid="{00000000-0005-0000-0000-000090000000}"/>
    <cellStyle name="Percent 2" xfId="125" xr:uid="{00000000-0005-0000-0000-000091000000}"/>
    <cellStyle name="Percent 2 2" xfId="126" xr:uid="{00000000-0005-0000-0000-000092000000}"/>
    <cellStyle name="Title" xfId="129" builtinId="15" customBuiltin="1"/>
    <cellStyle name="Title 2" xfId="68" xr:uid="{00000000-0005-0000-0000-000094000000}"/>
    <cellStyle name="Total" xfId="36" builtinId="25" customBuiltin="1"/>
    <cellStyle name="Total 2" xfId="127" xr:uid="{00000000-0005-0000-0000-000096000000}"/>
    <cellStyle name="Warning Text" xfId="34" builtinId="11" customBuiltin="1"/>
    <cellStyle name="Warning Text 2" xfId="128" xr:uid="{00000000-0005-0000-0000-000098000000}"/>
  </cellStyles>
  <dxfs count="0"/>
  <tableStyles count="0" defaultTableStyle="TableStyleMedium2" defaultPivotStyle="PivotStyleMedium9"/>
  <colors>
    <mruColors>
      <color rgb="FF006600"/>
      <color rgb="FF18661C"/>
      <color rgb="FFCCFFCC"/>
      <color rgb="FF99FF99"/>
      <color rgb="FF808000"/>
      <color rgb="FF0000CC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28576</xdr:colOff>
      <xdr:row>0</xdr:row>
      <xdr:rowOff>9525</xdr:rowOff>
    </xdr:from>
    <xdr:to>
      <xdr:col>2</xdr:col>
      <xdr:colOff>219076</xdr:colOff>
      <xdr:row>0</xdr:row>
      <xdr:rowOff>180975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ACDC9755-E9A4-4924-B766-BF3B8884B821}"/>
            </a:ext>
          </a:extLst>
        </xdr:cNvPr>
        <xdr:cNvSpPr/>
      </xdr:nvSpPr>
      <xdr:spPr>
        <a:xfrm>
          <a:off x="5410201" y="9525"/>
          <a:ext cx="190500" cy="171450"/>
        </a:xfrm>
        <a:prstGeom prst="ellipse">
          <a:avLst/>
        </a:prstGeom>
        <a:solidFill>
          <a:srgbClr val="18661C"/>
        </a:solidFill>
        <a:ln>
          <a:solidFill>
            <a:srgbClr val="0066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9525</xdr:colOff>
      <xdr:row>0</xdr:row>
      <xdr:rowOff>19050</xdr:rowOff>
    </xdr:from>
    <xdr:to>
      <xdr:col>3</xdr:col>
      <xdr:colOff>190500</xdr:colOff>
      <xdr:row>0</xdr:row>
      <xdr:rowOff>180975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B4D9ED53-19B1-462B-97FD-5C9238B76095}"/>
            </a:ext>
          </a:extLst>
        </xdr:cNvPr>
        <xdr:cNvSpPr/>
      </xdr:nvSpPr>
      <xdr:spPr>
        <a:xfrm>
          <a:off x="6896100" y="19050"/>
          <a:ext cx="180975" cy="161925"/>
        </a:xfrm>
        <a:prstGeom prst="ellipse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47625</xdr:colOff>
      <xdr:row>0</xdr:row>
      <xdr:rowOff>28575</xdr:rowOff>
    </xdr:from>
    <xdr:to>
      <xdr:col>4</xdr:col>
      <xdr:colOff>228600</xdr:colOff>
      <xdr:row>0</xdr:row>
      <xdr:rowOff>190500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2F506958-6F23-4614-8F8E-2AF07BF6E824}"/>
            </a:ext>
          </a:extLst>
        </xdr:cNvPr>
        <xdr:cNvSpPr/>
      </xdr:nvSpPr>
      <xdr:spPr>
        <a:xfrm>
          <a:off x="8115300" y="28575"/>
          <a:ext cx="180975" cy="161925"/>
        </a:xfrm>
        <a:prstGeom prst="ellipse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528853</xdr:colOff>
      <xdr:row>1</xdr:row>
      <xdr:rowOff>180974</xdr:rowOff>
    </xdr:from>
    <xdr:to>
      <xdr:col>7</xdr:col>
      <xdr:colOff>140805</xdr:colOff>
      <xdr:row>7</xdr:row>
      <xdr:rowOff>57149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980505" y="371474"/>
          <a:ext cx="1450691" cy="10191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N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238125</xdr:colOff>
      <xdr:row>3</xdr:row>
      <xdr:rowOff>38100</xdr:rowOff>
    </xdr:from>
    <xdr:to>
      <xdr:col>6</xdr:col>
      <xdr:colOff>438150</xdr:colOff>
      <xdr:row>5</xdr:row>
      <xdr:rowOff>152400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2066925" y="419100"/>
          <a:ext cx="809625" cy="4953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123825</xdr:colOff>
      <xdr:row>3</xdr:row>
      <xdr:rowOff>28575</xdr:rowOff>
    </xdr:from>
    <xdr:to>
      <xdr:col>6</xdr:col>
      <xdr:colOff>314326</xdr:colOff>
      <xdr:row>5</xdr:row>
      <xdr:rowOff>180975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 flipH="1">
          <a:off x="1952625" y="409575"/>
          <a:ext cx="800101" cy="5334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209550</xdr:colOff>
      <xdr:row>3</xdr:row>
      <xdr:rowOff>9524</xdr:rowOff>
    </xdr:from>
    <xdr:to>
      <xdr:col>7</xdr:col>
      <xdr:colOff>400050</xdr:colOff>
      <xdr:row>6</xdr:row>
      <xdr:rowOff>133349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428750" y="390524"/>
          <a:ext cx="2019300" cy="695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en-IN" sz="16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"I want to change You"</a:t>
          </a:r>
          <a:endParaRPr lang="en-IN" sz="1600">
            <a:solidFill>
              <a:sysClr val="windowText" lastClr="000000"/>
            </a:solidFill>
            <a:effectLst/>
          </a:endParaRPr>
        </a:p>
        <a:p>
          <a:pPr algn="l"/>
          <a:endParaRPr lang="en-IN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89039</xdr:colOff>
      <xdr:row>1</xdr:row>
      <xdr:rowOff>121754</xdr:rowOff>
    </xdr:from>
    <xdr:to>
      <xdr:col>10</xdr:col>
      <xdr:colOff>603389</xdr:colOff>
      <xdr:row>6</xdr:row>
      <xdr:rowOff>188429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4959213" y="312254"/>
          <a:ext cx="1740176" cy="115997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N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16537</xdr:colOff>
      <xdr:row>3</xdr:row>
      <xdr:rowOff>36857</xdr:rowOff>
    </xdr:from>
    <xdr:to>
      <xdr:col>11</xdr:col>
      <xdr:colOff>207038</xdr:colOff>
      <xdr:row>6</xdr:row>
      <xdr:rowOff>160682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4919841" y="1635400"/>
          <a:ext cx="2029240" cy="695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6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"I am willing</a:t>
          </a:r>
          <a:r>
            <a:rPr lang="en-IN" sz="16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to</a:t>
          </a:r>
          <a:r>
            <a:rPr lang="en-IN" sz="16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    change "</a:t>
          </a:r>
          <a:endParaRPr lang="en-IN" sz="1600">
            <a:solidFill>
              <a:sysClr val="windowText" lastClr="000000"/>
            </a:solidFill>
            <a:effectLst/>
          </a:endParaRPr>
        </a:p>
        <a:p>
          <a:pPr algn="l"/>
          <a:endParaRPr lang="en-IN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226087</xdr:colOff>
      <xdr:row>5</xdr:row>
      <xdr:rowOff>8283</xdr:rowOff>
    </xdr:from>
    <xdr:to>
      <xdr:col>8</xdr:col>
      <xdr:colOff>397537</xdr:colOff>
      <xdr:row>6</xdr:row>
      <xdr:rowOff>17808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5129391" y="1987826"/>
          <a:ext cx="171450" cy="200025"/>
        </a:xfrm>
        <a:prstGeom prst="line">
          <a:avLst/>
        </a:prstGeom>
        <a:ln w="5715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397537</xdr:colOff>
      <xdr:row>3</xdr:row>
      <xdr:rowOff>55908</xdr:rowOff>
    </xdr:from>
    <xdr:to>
      <xdr:col>9</xdr:col>
      <xdr:colOff>454687</xdr:colOff>
      <xdr:row>6</xdr:row>
      <xdr:rowOff>36859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V="1">
          <a:off x="5300841" y="1654451"/>
          <a:ext cx="670063" cy="552451"/>
        </a:xfrm>
        <a:prstGeom prst="line">
          <a:avLst/>
        </a:prstGeom>
        <a:ln w="5715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8283</xdr:colOff>
      <xdr:row>1</xdr:row>
      <xdr:rowOff>177661</xdr:rowOff>
    </xdr:from>
    <xdr:to>
      <xdr:col>4</xdr:col>
      <xdr:colOff>364435</xdr:colOff>
      <xdr:row>7</xdr:row>
      <xdr:rowOff>53836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234109" y="1395204"/>
          <a:ext cx="1581978" cy="10191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ysClr val="windowText" lastClr="000000"/>
              </a:solidFill>
            </a:rPr>
            <a:t>Revolution=</a:t>
          </a:r>
        </a:p>
      </xdr:txBody>
    </xdr:sp>
    <xdr:clientData/>
  </xdr:twoCellAnchor>
  <xdr:twoCellAnchor>
    <xdr:from>
      <xdr:col>12</xdr:col>
      <xdr:colOff>118855</xdr:colOff>
      <xdr:row>2</xdr:row>
      <xdr:rowOff>163994</xdr:rowOff>
    </xdr:from>
    <xdr:to>
      <xdr:col>15</xdr:col>
      <xdr:colOff>23605</xdr:colOff>
      <xdr:row>5</xdr:row>
      <xdr:rowOff>107675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7440681" y="544994"/>
          <a:ext cx="1743489" cy="65598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ysClr val="windowText" lastClr="000000"/>
              </a:solidFill>
            </a:rPr>
            <a:t>Quality </a:t>
          </a:r>
        </a:p>
        <a:p>
          <a:pPr algn="ctr"/>
          <a:endParaRPr lang="en-IN" sz="1600" b="1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61972/Desktop/ConvTemplateCurre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vision"/>
      <sheetName val="Sheet5"/>
      <sheetName val="Working"/>
      <sheetName val="Sheet4"/>
      <sheetName val="Sheet2"/>
      <sheetName val="2409004"/>
      <sheetName val="2406252"/>
      <sheetName val="Sheet1"/>
      <sheetName val="Sheet3"/>
    </sheetNames>
    <sheetDataSet>
      <sheetData sheetId="0"/>
      <sheetData sheetId="1"/>
      <sheetData sheetId="2">
        <row r="1">
          <cell r="C1" t="str">
            <v>Line Items inserted by Bot</v>
          </cell>
          <cell r="D1" t="str">
            <v xml:space="preserve">        Amount Matching but not Bill No</v>
          </cell>
          <cell r="E1" t="str">
            <v xml:space="preserve">    ZSSNEW Amount Adjusted</v>
          </cell>
        </row>
        <row r="2">
          <cell r="B2" t="str">
            <v>Details of the provision made.</v>
          </cell>
        </row>
        <row r="3">
          <cell r="B3"/>
        </row>
        <row r="4">
          <cell r="B4"/>
        </row>
        <row r="5">
          <cell r="B5" t="str">
            <v>PLANT 2286</v>
          </cell>
          <cell r="C5" t="str">
            <v>Net Amount</v>
          </cell>
          <cell r="D5" t="str">
            <v>CGST</v>
          </cell>
          <cell r="E5" t="str">
            <v>SGST</v>
          </cell>
          <cell r="F5"/>
          <cell r="G5" t="str">
            <v>Total</v>
          </cell>
        </row>
        <row r="6">
          <cell r="B6"/>
          <cell r="C6"/>
          <cell r="D6"/>
          <cell r="E6"/>
          <cell r="F6"/>
          <cell r="G6"/>
        </row>
        <row r="7">
          <cell r="B7" t="str">
            <v>TOTAL OS 2286</v>
          </cell>
          <cell r="C7"/>
          <cell r="D7"/>
          <cell r="E7"/>
          <cell r="F7"/>
          <cell r="G7"/>
        </row>
        <row r="8">
          <cell r="B8"/>
        </row>
        <row r="9">
          <cell r="B9"/>
        </row>
        <row r="10">
          <cell r="B10" t="str">
            <v>PLANT 2266</v>
          </cell>
          <cell r="C10" t="str">
            <v>Net Amount</v>
          </cell>
          <cell r="D10" t="str">
            <v>CGST</v>
          </cell>
          <cell r="E10" t="str">
            <v>SGST</v>
          </cell>
          <cell r="F10"/>
          <cell r="G10" t="str">
            <v>Total</v>
          </cell>
        </row>
        <row r="11">
          <cell r="B11"/>
          <cell r="C11"/>
          <cell r="D11"/>
          <cell r="E11"/>
          <cell r="F11"/>
          <cell r="G11"/>
        </row>
        <row r="12">
          <cell r="B12" t="str">
            <v>TOTAL OS 2266</v>
          </cell>
          <cell r="C12"/>
          <cell r="D12"/>
          <cell r="E12"/>
          <cell r="F12"/>
          <cell r="G12"/>
        </row>
        <row r="13">
          <cell r="B13"/>
        </row>
        <row r="14">
          <cell r="B14"/>
        </row>
        <row r="15">
          <cell r="B15" t="str">
            <v>PLANT 3171</v>
          </cell>
          <cell r="C15" t="str">
            <v>Net Amount</v>
          </cell>
          <cell r="D15" t="str">
            <v>CGST</v>
          </cell>
          <cell r="E15" t="str">
            <v>SGST</v>
          </cell>
          <cell r="F15"/>
          <cell r="G15" t="str">
            <v>Total</v>
          </cell>
        </row>
        <row r="16">
          <cell r="B16"/>
          <cell r="C16"/>
          <cell r="D16"/>
          <cell r="E16"/>
          <cell r="F16"/>
          <cell r="G16"/>
        </row>
        <row r="17">
          <cell r="B17" t="str">
            <v>TOTAL OS 3171</v>
          </cell>
          <cell r="C17"/>
          <cell r="D17"/>
          <cell r="E17"/>
          <cell r="F17"/>
          <cell r="G17"/>
        </row>
        <row r="18">
          <cell r="B18"/>
        </row>
        <row r="19">
          <cell r="B19"/>
        </row>
        <row r="20">
          <cell r="B20"/>
        </row>
        <row r="21">
          <cell r="B21" t="str">
            <v>PLANT 119</v>
          </cell>
          <cell r="C21" t="str">
            <v>Net Amount</v>
          </cell>
          <cell r="D21" t="str">
            <v>CGST</v>
          </cell>
          <cell r="E21" t="str">
            <v>SGST</v>
          </cell>
          <cell r="F21"/>
          <cell r="G21" t="str">
            <v>Total</v>
          </cell>
        </row>
        <row r="22">
          <cell r="B22"/>
          <cell r="C22"/>
          <cell r="D22"/>
          <cell r="E22"/>
          <cell r="F22"/>
          <cell r="G22"/>
        </row>
        <row r="23">
          <cell r="B23" t="str">
            <v>TOTAL OS 119</v>
          </cell>
          <cell r="C23">
            <v>0</v>
          </cell>
          <cell r="D23">
            <v>0</v>
          </cell>
          <cell r="E23">
            <v>0</v>
          </cell>
          <cell r="F23"/>
          <cell r="G23">
            <v>0</v>
          </cell>
        </row>
        <row r="24">
          <cell r="B24"/>
        </row>
        <row r="25">
          <cell r="B25"/>
        </row>
        <row r="26">
          <cell r="B26" t="str">
            <v>PLANT 2217</v>
          </cell>
          <cell r="C26" t="str">
            <v>Net Amount</v>
          </cell>
          <cell r="D26" t="str">
            <v>CGST</v>
          </cell>
          <cell r="E26" t="str">
            <v>SGST</v>
          </cell>
          <cell r="F26"/>
          <cell r="G26" t="str">
            <v>Total</v>
          </cell>
        </row>
        <row r="27">
          <cell r="B27"/>
          <cell r="C27"/>
          <cell r="D27"/>
          <cell r="E27"/>
          <cell r="F27"/>
          <cell r="G27"/>
        </row>
        <row r="28">
          <cell r="B28" t="str">
            <v>TOTAL OS 2217</v>
          </cell>
          <cell r="C28">
            <v>0</v>
          </cell>
          <cell r="D28">
            <v>0</v>
          </cell>
          <cell r="E28">
            <v>0</v>
          </cell>
          <cell r="F28"/>
          <cell r="G28">
            <v>0</v>
          </cell>
        </row>
        <row r="29">
          <cell r="B29"/>
        </row>
        <row r="30">
          <cell r="B30"/>
        </row>
        <row r="31">
          <cell r="B31" t="str">
            <v>PLANT 1171</v>
          </cell>
          <cell r="C31" t="str">
            <v>Net Amount</v>
          </cell>
          <cell r="D31" t="str">
            <v>CGST</v>
          </cell>
          <cell r="E31" t="str">
            <v>SGST</v>
          </cell>
          <cell r="F31"/>
          <cell r="G31" t="str">
            <v>Total</v>
          </cell>
        </row>
        <row r="32">
          <cell r="B32"/>
          <cell r="C32"/>
          <cell r="D32"/>
          <cell r="E32"/>
          <cell r="F32"/>
          <cell r="G32"/>
        </row>
        <row r="33">
          <cell r="B33" t="str">
            <v>TOTAL OS 1171</v>
          </cell>
          <cell r="C33">
            <v>0</v>
          </cell>
          <cell r="D33">
            <v>0</v>
          </cell>
          <cell r="E33">
            <v>0</v>
          </cell>
          <cell r="F33"/>
          <cell r="G33">
            <v>0</v>
          </cell>
        </row>
        <row r="34">
          <cell r="B34"/>
        </row>
        <row r="35">
          <cell r="B35"/>
        </row>
        <row r="36">
          <cell r="B36" t="str">
            <v>PLANT 2277</v>
          </cell>
          <cell r="C36" t="str">
            <v>Net Amount</v>
          </cell>
          <cell r="D36" t="str">
            <v>CGST</v>
          </cell>
          <cell r="E36" t="str">
            <v>SGST</v>
          </cell>
          <cell r="F36"/>
          <cell r="G36" t="str">
            <v>Total</v>
          </cell>
        </row>
        <row r="37">
          <cell r="B37"/>
          <cell r="C37"/>
          <cell r="D37"/>
          <cell r="E37"/>
          <cell r="F37"/>
          <cell r="G37"/>
        </row>
        <row r="38">
          <cell r="B38" t="str">
            <v>TOTAL OS 2277</v>
          </cell>
          <cell r="C38">
            <v>0</v>
          </cell>
          <cell r="D38">
            <v>0</v>
          </cell>
          <cell r="E38">
            <v>0</v>
          </cell>
          <cell r="F38"/>
          <cell r="G38">
            <v>0</v>
          </cell>
        </row>
        <row r="39">
          <cell r="B39"/>
        </row>
        <row r="40">
          <cell r="B40"/>
        </row>
        <row r="41">
          <cell r="B41" t="str">
            <v>PLANT 1213</v>
          </cell>
          <cell r="C41" t="str">
            <v>Net Amount</v>
          </cell>
          <cell r="D41" t="str">
            <v>CGST</v>
          </cell>
          <cell r="E41" t="str">
            <v>SGST</v>
          </cell>
          <cell r="F41"/>
          <cell r="G41" t="str">
            <v>Total</v>
          </cell>
        </row>
        <row r="42">
          <cell r="B42"/>
          <cell r="C42"/>
          <cell r="D42"/>
          <cell r="E42"/>
          <cell r="F42"/>
          <cell r="G42"/>
        </row>
        <row r="43">
          <cell r="B43" t="str">
            <v>TOTAL OS 1213</v>
          </cell>
          <cell r="C43">
            <v>0</v>
          </cell>
          <cell r="D43">
            <v>0</v>
          </cell>
          <cell r="E43">
            <v>0</v>
          </cell>
          <cell r="F43"/>
          <cell r="G43">
            <v>0</v>
          </cell>
        </row>
        <row r="44">
          <cell r="B44"/>
        </row>
        <row r="45">
          <cell r="B45"/>
        </row>
        <row r="46">
          <cell r="B46" t="str">
            <v>PLANT 2241</v>
          </cell>
          <cell r="C46" t="str">
            <v>Net Amount</v>
          </cell>
          <cell r="D46" t="str">
            <v>CGST</v>
          </cell>
          <cell r="E46" t="str">
            <v>SGST</v>
          </cell>
          <cell r="F46"/>
          <cell r="G46" t="str">
            <v>Total</v>
          </cell>
        </row>
        <row r="47">
          <cell r="B47"/>
          <cell r="C47"/>
          <cell r="D47"/>
          <cell r="E47"/>
          <cell r="F47"/>
          <cell r="G47"/>
        </row>
        <row r="48">
          <cell r="B48" t="str">
            <v>TOTAL OS 2241</v>
          </cell>
          <cell r="C48">
            <v>0</v>
          </cell>
          <cell r="D48">
            <v>0</v>
          </cell>
          <cell r="E48">
            <v>0</v>
          </cell>
          <cell r="F48"/>
          <cell r="G48">
            <v>0</v>
          </cell>
        </row>
        <row r="49">
          <cell r="B49"/>
        </row>
        <row r="50">
          <cell r="B50"/>
        </row>
        <row r="51">
          <cell r="B51" t="str">
            <v>PLANT 2243</v>
          </cell>
          <cell r="C51" t="str">
            <v>Net Amount</v>
          </cell>
          <cell r="D51" t="str">
            <v>CGST</v>
          </cell>
          <cell r="E51" t="str">
            <v>SGST</v>
          </cell>
          <cell r="F51"/>
          <cell r="G51" t="str">
            <v>Total</v>
          </cell>
        </row>
        <row r="52">
          <cell r="B52"/>
          <cell r="C52"/>
          <cell r="D52"/>
          <cell r="E52"/>
          <cell r="F52"/>
          <cell r="G52"/>
        </row>
        <row r="53">
          <cell r="B53" t="str">
            <v>TOTAL OS 2243</v>
          </cell>
          <cell r="C53">
            <v>0</v>
          </cell>
          <cell r="D53">
            <v>0</v>
          </cell>
          <cell r="E53">
            <v>0</v>
          </cell>
          <cell r="F53"/>
          <cell r="G53">
            <v>0</v>
          </cell>
        </row>
        <row r="54">
          <cell r="B54"/>
        </row>
        <row r="55">
          <cell r="B55"/>
        </row>
        <row r="56">
          <cell r="B56" t="str">
            <v>PLANT 2264</v>
          </cell>
          <cell r="C56" t="str">
            <v>Net Amount</v>
          </cell>
          <cell r="D56" t="str">
            <v>CGST</v>
          </cell>
          <cell r="E56" t="str">
            <v>SGST</v>
          </cell>
          <cell r="F56"/>
          <cell r="G56" t="str">
            <v>Total</v>
          </cell>
        </row>
        <row r="57">
          <cell r="B57"/>
          <cell r="C57"/>
          <cell r="D57"/>
          <cell r="E57"/>
          <cell r="F57"/>
          <cell r="G57"/>
        </row>
        <row r="58">
          <cell r="B58" t="str">
            <v>TOTAL OS 2264</v>
          </cell>
          <cell r="C58">
            <v>0</v>
          </cell>
          <cell r="D58">
            <v>0</v>
          </cell>
          <cell r="E58">
            <v>0</v>
          </cell>
          <cell r="F58"/>
          <cell r="G58">
            <v>0</v>
          </cell>
        </row>
        <row r="60">
          <cell r="B60" t="str">
            <v>PLANT 1121</v>
          </cell>
          <cell r="C60" t="str">
            <v>TSPDL  CR</v>
          </cell>
          <cell r="D60"/>
          <cell r="E60"/>
          <cell r="F60"/>
          <cell r="G60"/>
        </row>
        <row r="61">
          <cell r="B61" t="str">
            <v>Particulars</v>
          </cell>
          <cell r="C61" t="str">
            <v>Net Amount</v>
          </cell>
          <cell r="D61" t="str">
            <v>CGST</v>
          </cell>
          <cell r="E61" t="str">
            <v>SGST</v>
          </cell>
          <cell r="F61"/>
          <cell r="G61" t="str">
            <v>Total</v>
          </cell>
        </row>
        <row r="62">
          <cell r="B62"/>
          <cell r="C62"/>
          <cell r="D62"/>
          <cell r="E62"/>
          <cell r="F62"/>
          <cell r="G62"/>
        </row>
        <row r="63">
          <cell r="B63" t="str">
            <v>SI19202/000196 Aug'20</v>
          </cell>
          <cell r="C63">
            <v>284622</v>
          </cell>
          <cell r="D63">
            <v>17077.32</v>
          </cell>
          <cell r="E63">
            <v>17077.32</v>
          </cell>
          <cell r="F63"/>
          <cell r="G63">
            <v>318776.64</v>
          </cell>
        </row>
        <row r="64">
          <cell r="B64" t="str">
            <v>SI20202/000102 October'20</v>
          </cell>
          <cell r="C64">
            <v>38612166.070999995</v>
          </cell>
          <cell r="D64">
            <v>2315581.18716001</v>
          </cell>
          <cell r="E64">
            <v>2315581.18716001</v>
          </cell>
          <cell r="F64"/>
          <cell r="G64">
            <v>43243328.44532001</v>
          </cell>
        </row>
        <row r="65">
          <cell r="B65" t="str">
            <v>Nov'20 Prov November</v>
          </cell>
          <cell r="C65">
            <v>34552518.455000103</v>
          </cell>
          <cell r="D65">
            <v>2073151.10730001</v>
          </cell>
          <cell r="E65">
            <v>2073151.10730001</v>
          </cell>
          <cell r="F65"/>
          <cell r="G65">
            <v>38698820.669600129</v>
          </cell>
        </row>
        <row r="66">
          <cell r="B66" t="str">
            <v>TOTAL OS 1121</v>
          </cell>
          <cell r="C66">
            <v>73449306.526000097</v>
          </cell>
          <cell r="D66">
            <v>4405809.6144600194</v>
          </cell>
          <cell r="E66">
            <v>4405809.6144600194</v>
          </cell>
          <cell r="F66"/>
          <cell r="G66">
            <v>82260925.75492014</v>
          </cell>
        </row>
        <row r="67">
          <cell r="B67"/>
          <cell r="C67"/>
          <cell r="D67"/>
          <cell r="E67"/>
          <cell r="F67"/>
          <cell r="G67"/>
        </row>
        <row r="68">
          <cell r="B68"/>
          <cell r="C68"/>
          <cell r="D68"/>
          <cell r="E68"/>
          <cell r="F68"/>
          <cell r="G68"/>
        </row>
        <row r="69">
          <cell r="B69" t="str">
            <v>PLANT 4328</v>
          </cell>
          <cell r="C69" t="str">
            <v>TSPDL Chennai</v>
          </cell>
          <cell r="D69"/>
          <cell r="E69"/>
          <cell r="F69"/>
          <cell r="G69"/>
        </row>
        <row r="70">
          <cell r="B70" t="str">
            <v>Particulars</v>
          </cell>
          <cell r="C70" t="str">
            <v>AMT.</v>
          </cell>
          <cell r="D70" t="str">
            <v>CGST</v>
          </cell>
          <cell r="E70" t="str">
            <v>SGST</v>
          </cell>
          <cell r="F70"/>
          <cell r="G70" t="str">
            <v>Total</v>
          </cell>
        </row>
        <row r="71">
          <cell r="B71" t="str">
            <v>Compensation for Q2'20</v>
          </cell>
          <cell r="C71">
            <v>15000000</v>
          </cell>
          <cell r="D71">
            <v>1350000</v>
          </cell>
          <cell r="E71">
            <v>1350000</v>
          </cell>
          <cell r="F71"/>
          <cell r="G71">
            <v>17700000</v>
          </cell>
        </row>
        <row r="72">
          <cell r="B72" t="str">
            <v>CHSSC/020 March'20</v>
          </cell>
          <cell r="C72">
            <v>9122</v>
          </cell>
          <cell r="D72">
            <v>820.98</v>
          </cell>
          <cell r="E72">
            <v>820.98</v>
          </cell>
          <cell r="F72"/>
          <cell r="G72">
            <v>10763.96</v>
          </cell>
        </row>
        <row r="73">
          <cell r="B73" t="str">
            <v>CHSSC/CR/005 November</v>
          </cell>
          <cell r="C73">
            <v>-1439</v>
          </cell>
          <cell r="D73">
            <v>0</v>
          </cell>
          <cell r="E73">
            <v>0</v>
          </cell>
          <cell r="F73"/>
          <cell r="G73">
            <v>-1439</v>
          </cell>
        </row>
        <row r="74">
          <cell r="B74" t="str">
            <v>CHSSC/RPOC/015 February</v>
          </cell>
          <cell r="C74">
            <v>1101575</v>
          </cell>
          <cell r="D74">
            <v>99141.75</v>
          </cell>
          <cell r="E74">
            <v>99141.75</v>
          </cell>
          <cell r="F74"/>
          <cell r="G74">
            <v>1299858.5</v>
          </cell>
        </row>
        <row r="75">
          <cell r="B75" t="str">
            <v>SI20331/000005 June</v>
          </cell>
          <cell r="C75">
            <v>644470</v>
          </cell>
          <cell r="D75">
            <v>58002.3</v>
          </cell>
          <cell r="E75">
            <v>58002.3</v>
          </cell>
          <cell r="F75"/>
          <cell r="G75">
            <v>760474.60000000009</v>
          </cell>
        </row>
        <row r="76">
          <cell r="B76" t="str">
            <v>CHSSC/RPOC/006 Compensation FY 15-19</v>
          </cell>
          <cell r="C76">
            <v>142900000</v>
          </cell>
          <cell r="D76">
            <v>12861000</v>
          </cell>
          <cell r="E76">
            <v>12861000</v>
          </cell>
          <cell r="F76"/>
          <cell r="G76">
            <v>168622000</v>
          </cell>
        </row>
        <row r="77">
          <cell r="B77" t="str">
            <v>SI20331/000017 October'20</v>
          </cell>
          <cell r="C77">
            <v>7612604.0659999996</v>
          </cell>
          <cell r="D77">
            <v>819847.00638000004</v>
          </cell>
          <cell r="E77">
            <v>819847.00638000004</v>
          </cell>
          <cell r="F77"/>
          <cell r="G77">
            <v>9252298.0787599981</v>
          </cell>
        </row>
        <row r="78">
          <cell r="B78" t="str">
            <v>SI20331/000016</v>
          </cell>
          <cell r="C78">
            <v>3278255</v>
          </cell>
          <cell r="D78">
            <v>819847.00638000004</v>
          </cell>
          <cell r="E78">
            <v>819847.00638000004</v>
          </cell>
          <cell r="F78"/>
          <cell r="G78">
            <v>4917949.0127600003</v>
          </cell>
        </row>
        <row r="79">
          <cell r="B79" t="str">
            <v>Compensation Oct'20 and Nov'20</v>
          </cell>
          <cell r="C79">
            <v>10000000</v>
          </cell>
          <cell r="D79">
            <v>600000</v>
          </cell>
          <cell r="E79">
            <v>600000</v>
          </cell>
          <cell r="F79"/>
          <cell r="G79">
            <v>11200000</v>
          </cell>
        </row>
        <row r="80">
          <cell r="B80">
            <v>44136</v>
          </cell>
          <cell r="C80">
            <v>9456573.8740000017</v>
          </cell>
          <cell r="D80">
            <v>567394.43244000012</v>
          </cell>
          <cell r="E80">
            <v>567394.43244000012</v>
          </cell>
          <cell r="F80"/>
          <cell r="G80">
            <v>10591362.738880001</v>
          </cell>
        </row>
        <row r="81">
          <cell r="B81" t="str">
            <v>TOTAL OS 4328</v>
          </cell>
          <cell r="C81">
            <v>190001160.94</v>
          </cell>
          <cell r="D81">
            <v>17176053.475199997</v>
          </cell>
          <cell r="E81">
            <v>17176053.475199997</v>
          </cell>
          <cell r="F81" t="e">
            <v>#REF!</v>
          </cell>
          <cell r="G81">
            <v>224353267.89040002</v>
          </cell>
        </row>
        <row r="82">
          <cell r="B82"/>
          <cell r="C82"/>
          <cell r="D82"/>
          <cell r="E82"/>
          <cell r="F82"/>
          <cell r="G82"/>
        </row>
        <row r="83">
          <cell r="D83"/>
          <cell r="E83"/>
          <cell r="F83"/>
          <cell r="G83"/>
        </row>
        <row r="84">
          <cell r="B84" t="str">
            <v>PLANT 3151</v>
          </cell>
          <cell r="C84" t="str">
            <v>TSPDL Pune</v>
          </cell>
          <cell r="D84"/>
          <cell r="E84"/>
          <cell r="F84"/>
          <cell r="G84"/>
        </row>
        <row r="85">
          <cell r="B85" t="str">
            <v>Particulars</v>
          </cell>
          <cell r="C85" t="str">
            <v>AMT.</v>
          </cell>
          <cell r="D85" t="str">
            <v>CGST</v>
          </cell>
          <cell r="E85" t="str">
            <v>SGST</v>
          </cell>
          <cell r="F85"/>
          <cell r="G85" t="str">
            <v>Total</v>
          </cell>
        </row>
        <row r="86">
          <cell r="B86" t="str">
            <v>SI20271/000101 Oct'20</v>
          </cell>
          <cell r="C86">
            <v>4224308.948752759</v>
          </cell>
          <cell r="D86">
            <v>253458.53692516554</v>
          </cell>
          <cell r="E86">
            <v>253458.53692516554</v>
          </cell>
          <cell r="F86"/>
          <cell r="G86">
            <v>4731226.0226030909</v>
          </cell>
        </row>
        <row r="87">
          <cell r="B87" t="str">
            <v>Nov'20</v>
          </cell>
          <cell r="C87">
            <v>4255439.3884755261</v>
          </cell>
          <cell r="D87">
            <v>255326.36330853155</v>
          </cell>
          <cell r="E87">
            <v>255326.36330853155</v>
          </cell>
          <cell r="F87"/>
          <cell r="G87">
            <v>4766092.1150925886</v>
          </cell>
        </row>
        <row r="88">
          <cell r="B88" t="str">
            <v>TOTAL OS 3151</v>
          </cell>
          <cell r="C88">
            <v>8479748.3372282851</v>
          </cell>
          <cell r="D88">
            <v>508784.90023369709</v>
          </cell>
          <cell r="E88">
            <v>508784.90023369709</v>
          </cell>
          <cell r="F88" t="e">
            <v>#REF!</v>
          </cell>
          <cell r="G88">
            <v>9497318.1376956794</v>
          </cell>
        </row>
        <row r="89">
          <cell r="B89"/>
          <cell r="C89"/>
          <cell r="D89"/>
          <cell r="E89"/>
          <cell r="F89"/>
          <cell r="G89"/>
        </row>
        <row r="90">
          <cell r="D90"/>
          <cell r="E90"/>
          <cell r="F90"/>
          <cell r="G90"/>
        </row>
        <row r="91">
          <cell r="B91" t="str">
            <v>PLANT 1140</v>
          </cell>
          <cell r="C91" t="str">
            <v>BMW GMH</v>
          </cell>
          <cell r="D91"/>
          <cell r="E91"/>
          <cell r="F91"/>
          <cell r="G91"/>
        </row>
        <row r="92">
          <cell r="B92" t="str">
            <v>Particulars</v>
          </cell>
          <cell r="C92" t="str">
            <v>AMT.</v>
          </cell>
          <cell r="D92" t="str">
            <v>CGST</v>
          </cell>
          <cell r="E92" t="str">
            <v>SGST</v>
          </cell>
          <cell r="F92"/>
          <cell r="G92" t="str">
            <v>Total</v>
          </cell>
        </row>
        <row r="93">
          <cell r="B93"/>
          <cell r="C93"/>
          <cell r="D93"/>
          <cell r="E93"/>
          <cell r="F93"/>
          <cell r="G93">
            <v>0</v>
          </cell>
        </row>
        <row r="94">
          <cell r="B94" t="str">
            <v>TOTAL OS 1140</v>
          </cell>
          <cell r="C94">
            <v>0</v>
          </cell>
          <cell r="D94">
            <v>0</v>
          </cell>
          <cell r="E94">
            <v>0</v>
          </cell>
          <cell r="F94"/>
          <cell r="G94">
            <v>0</v>
          </cell>
        </row>
        <row r="95">
          <cell r="B95"/>
          <cell r="C95"/>
          <cell r="D95"/>
          <cell r="E95"/>
          <cell r="F95"/>
          <cell r="G95"/>
        </row>
        <row r="96">
          <cell r="D96"/>
          <cell r="E96"/>
          <cell r="F96"/>
          <cell r="G96"/>
        </row>
        <row r="97">
          <cell r="B97" t="str">
            <v>PLANT 1141</v>
          </cell>
          <cell r="C97" t="str">
            <v>Basic Value</v>
          </cell>
          <cell r="D97" t="str">
            <v>CGST</v>
          </cell>
          <cell r="E97" t="str">
            <v>SGST</v>
          </cell>
          <cell r="F97"/>
          <cell r="G97" t="str">
            <v>Total</v>
          </cell>
        </row>
        <row r="98">
          <cell r="B98"/>
          <cell r="C98"/>
          <cell r="D98"/>
          <cell r="E98"/>
          <cell r="F98"/>
          <cell r="G98"/>
        </row>
        <row r="99">
          <cell r="B99" t="str">
            <v>TOTAL OS 1141</v>
          </cell>
          <cell r="C99">
            <v>0</v>
          </cell>
          <cell r="D99">
            <v>0</v>
          </cell>
          <cell r="E99">
            <v>0</v>
          </cell>
          <cell r="F99"/>
          <cell r="G99">
            <v>0</v>
          </cell>
        </row>
        <row r="100">
          <cell r="B100"/>
          <cell r="C100"/>
          <cell r="D100"/>
          <cell r="E100"/>
          <cell r="F100"/>
          <cell r="G100"/>
        </row>
        <row r="101">
          <cell r="D101"/>
          <cell r="E101"/>
          <cell r="F101"/>
          <cell r="G101"/>
        </row>
        <row r="102">
          <cell r="B102" t="str">
            <v>PLANT 1113</v>
          </cell>
          <cell r="C102" t="str">
            <v>BMW JSR</v>
          </cell>
          <cell r="D102"/>
          <cell r="E102"/>
          <cell r="F102"/>
          <cell r="G102" t="str">
            <v>Total</v>
          </cell>
        </row>
        <row r="103">
          <cell r="B103" t="str">
            <v>Particulars</v>
          </cell>
          <cell r="C103" t="str">
            <v>Basic Value</v>
          </cell>
          <cell r="D103" t="str">
            <v>CGST</v>
          </cell>
          <cell r="E103" t="str">
            <v>SGST</v>
          </cell>
          <cell r="F103"/>
          <cell r="G103"/>
        </row>
        <row r="104">
          <cell r="B104"/>
          <cell r="C104"/>
          <cell r="D104"/>
          <cell r="E104"/>
          <cell r="F104"/>
          <cell r="G104"/>
        </row>
        <row r="105">
          <cell r="B105" t="str">
            <v>BMWIL-MANF-21 October</v>
          </cell>
          <cell r="C105">
            <v>823.5</v>
          </cell>
          <cell r="D105">
            <v>49.41</v>
          </cell>
          <cell r="E105">
            <v>49.41</v>
          </cell>
          <cell r="F105"/>
          <cell r="G105">
            <v>922.31999999999994</v>
          </cell>
        </row>
        <row r="106">
          <cell r="B106" t="str">
            <v>BMWIL-MANF-19 September</v>
          </cell>
          <cell r="C106">
            <v>84138.034</v>
          </cell>
          <cell r="D106">
            <v>5048.2820400000001</v>
          </cell>
          <cell r="E106">
            <v>5048.2820400000001</v>
          </cell>
          <cell r="F106"/>
          <cell r="G106">
            <v>94234.598080000011</v>
          </cell>
        </row>
        <row r="107">
          <cell r="B107" t="str">
            <v>SV2110000003 November</v>
          </cell>
          <cell r="C107">
            <v>5925.44</v>
          </cell>
          <cell r="D107">
            <v>355.52640000000002</v>
          </cell>
          <cell r="E107">
            <v>355.52640000000002</v>
          </cell>
          <cell r="F107"/>
          <cell r="G107">
            <v>6636.4927999999991</v>
          </cell>
        </row>
        <row r="108">
          <cell r="B108" t="str">
            <v>SV2110000004 November</v>
          </cell>
          <cell r="C108">
            <v>4425.2049999999999</v>
          </cell>
          <cell r="D108">
            <v>398.26844999999997</v>
          </cell>
          <cell r="E108">
            <v>398.26844999999997</v>
          </cell>
          <cell r="F108"/>
          <cell r="G108">
            <v>5221.7418999999991</v>
          </cell>
        </row>
        <row r="109">
          <cell r="B109" t="str">
            <v>TOTAL OS 1113</v>
          </cell>
          <cell r="C109">
            <v>95312.179000000004</v>
          </cell>
          <cell r="D109">
            <v>5851.4868899999992</v>
          </cell>
          <cell r="E109">
            <v>5851.4868899999992</v>
          </cell>
          <cell r="F109" t="e">
            <v>#REF!</v>
          </cell>
          <cell r="G109">
            <v>107015.15278</v>
          </cell>
        </row>
        <row r="110">
          <cell r="B110"/>
          <cell r="C110"/>
          <cell r="D110"/>
          <cell r="E110"/>
          <cell r="F110"/>
          <cell r="G110"/>
        </row>
        <row r="111">
          <cell r="D111"/>
          <cell r="E111"/>
          <cell r="F111"/>
          <cell r="G111"/>
        </row>
        <row r="112">
          <cell r="B112" t="str">
            <v>PLANT 3114</v>
          </cell>
          <cell r="C112" t="str">
            <v>Basic Value</v>
          </cell>
          <cell r="D112" t="str">
            <v>CGST</v>
          </cell>
          <cell r="E112" t="str">
            <v>SGST</v>
          </cell>
          <cell r="F112"/>
          <cell r="G112" t="str">
            <v>Total</v>
          </cell>
        </row>
        <row r="113">
          <cell r="B113"/>
          <cell r="C113"/>
          <cell r="D113"/>
          <cell r="E113"/>
          <cell r="F113"/>
          <cell r="G113"/>
        </row>
        <row r="114">
          <cell r="B114" t="str">
            <v>TOTAL OS 3114</v>
          </cell>
          <cell r="C114">
            <v>0</v>
          </cell>
          <cell r="D114"/>
          <cell r="E114"/>
          <cell r="F114"/>
          <cell r="G114"/>
        </row>
        <row r="115">
          <cell r="B115"/>
          <cell r="C115"/>
          <cell r="D115"/>
          <cell r="E115"/>
          <cell r="F115"/>
          <cell r="G115"/>
        </row>
        <row r="116">
          <cell r="D116"/>
          <cell r="E116"/>
          <cell r="F116"/>
          <cell r="G116"/>
        </row>
        <row r="117">
          <cell r="B117" t="str">
            <v>PLANT 3131</v>
          </cell>
          <cell r="C117" t="str">
            <v>Tata Ryerson - Pune (LEPA)</v>
          </cell>
          <cell r="D117"/>
          <cell r="E117"/>
          <cell r="F117"/>
          <cell r="G117" t="str">
            <v>Total</v>
          </cell>
        </row>
        <row r="118">
          <cell r="B118" t="str">
            <v>Particulars</v>
          </cell>
          <cell r="C118" t="str">
            <v>Basic Value</v>
          </cell>
          <cell r="D118" t="str">
            <v>CGST</v>
          </cell>
          <cell r="E118" t="str">
            <v>SGST</v>
          </cell>
          <cell r="F118"/>
          <cell r="G118">
            <v>0</v>
          </cell>
        </row>
        <row r="119">
          <cell r="B119" t="str">
            <v>SI20271/000099 Oct'20</v>
          </cell>
          <cell r="C119">
            <v>2040204.7320000001</v>
          </cell>
          <cell r="D119">
            <v>122412.28392</v>
          </cell>
          <cell r="E119">
            <v>122412.28392</v>
          </cell>
          <cell r="F119"/>
          <cell r="G119">
            <v>2285029.29984</v>
          </cell>
        </row>
        <row r="120">
          <cell r="B120" t="str">
            <v>Nov'20</v>
          </cell>
          <cell r="C120">
            <v>1870700.2420000001</v>
          </cell>
          <cell r="D120">
            <v>112242.01452</v>
          </cell>
          <cell r="E120">
            <v>112242.01452</v>
          </cell>
          <cell r="F120"/>
          <cell r="G120">
            <v>2095184.27104</v>
          </cell>
        </row>
        <row r="121">
          <cell r="B121" t="str">
            <v>TOTAL OS 3131</v>
          </cell>
          <cell r="C121">
            <v>3910904.9740000004</v>
          </cell>
          <cell r="D121">
            <v>234654.29843999998</v>
          </cell>
          <cell r="E121">
            <v>234654.29843999998</v>
          </cell>
          <cell r="F121"/>
          <cell r="G121">
            <v>4380213.5708799995</v>
          </cell>
        </row>
        <row r="122">
          <cell r="B122"/>
          <cell r="C122"/>
          <cell r="D122"/>
          <cell r="E122"/>
          <cell r="F122"/>
          <cell r="G122"/>
        </row>
        <row r="123">
          <cell r="D123"/>
          <cell r="F123"/>
        </row>
        <row r="124">
          <cell r="B124" t="str">
            <v>PLANT 1163</v>
          </cell>
          <cell r="C124" t="str">
            <v>BMW IND. -GAM</v>
          </cell>
          <cell r="D124"/>
          <cell r="E124"/>
          <cell r="F124"/>
          <cell r="G124" t="str">
            <v>Total</v>
          </cell>
        </row>
        <row r="125">
          <cell r="B125"/>
          <cell r="C125"/>
          <cell r="D125"/>
          <cell r="E125"/>
          <cell r="F125"/>
          <cell r="G125"/>
        </row>
        <row r="126">
          <cell r="B126" t="str">
            <v>BMWIL-GMH-74 October</v>
          </cell>
          <cell r="C126">
            <v>1830368.76</v>
          </cell>
          <cell r="D126">
            <v>164733.18840000001</v>
          </cell>
          <cell r="E126">
            <v>164733.18840000001</v>
          </cell>
          <cell r="F126"/>
          <cell r="G126">
            <v>2159835.1368</v>
          </cell>
        </row>
        <row r="127">
          <cell r="B127" t="str">
            <v>SV1501000005 November</v>
          </cell>
          <cell r="C127">
            <v>5097305.46</v>
          </cell>
          <cell r="D127">
            <v>351835.848</v>
          </cell>
          <cell r="E127">
            <v>351835.848</v>
          </cell>
          <cell r="F127"/>
          <cell r="G127">
            <v>5800977.1560000004</v>
          </cell>
        </row>
        <row r="128">
          <cell r="B128" t="str">
            <v>SV1501000006 November</v>
          </cell>
          <cell r="C128">
            <v>2116652.89</v>
          </cell>
          <cell r="D128">
            <v>190498.76010000001</v>
          </cell>
          <cell r="E128">
            <v>190498.76010000001</v>
          </cell>
          <cell r="F128"/>
          <cell r="G128">
            <v>2497650.4102000003</v>
          </cell>
        </row>
        <row r="129">
          <cell r="B129" t="str">
            <v>TOTAL OS 1163</v>
          </cell>
          <cell r="C129">
            <v>9044327.1099999994</v>
          </cell>
          <cell r="D129">
            <v>707067.79649999994</v>
          </cell>
          <cell r="E129">
            <v>707067.79649999994</v>
          </cell>
          <cell r="F129" t="e">
            <v>#REF!</v>
          </cell>
          <cell r="G129">
            <v>10458462.703</v>
          </cell>
        </row>
        <row r="130">
          <cell r="B130"/>
          <cell r="C130"/>
          <cell r="D130"/>
          <cell r="E130"/>
          <cell r="F130"/>
          <cell r="G130"/>
        </row>
        <row r="131">
          <cell r="D131"/>
        </row>
        <row r="132">
          <cell r="B132" t="str">
            <v>PLANT 1172</v>
          </cell>
          <cell r="C132" t="str">
            <v>JCAPL</v>
          </cell>
          <cell r="D132"/>
          <cell r="E132"/>
          <cell r="F132"/>
          <cell r="G132" t="str">
            <v>Total</v>
          </cell>
        </row>
        <row r="133">
          <cell r="B133" t="str">
            <v>Particulars</v>
          </cell>
          <cell r="C133" t="str">
            <v>Basic Value</v>
          </cell>
          <cell r="D133" t="str">
            <v>CGST</v>
          </cell>
          <cell r="E133" t="str">
            <v>SGST</v>
          </cell>
          <cell r="F133"/>
          <cell r="G133"/>
        </row>
        <row r="134">
          <cell r="B134" t="str">
            <v>Lab Testing Rate Increase Provision</v>
          </cell>
          <cell r="C134">
            <v>102202.12</v>
          </cell>
          <cell r="D134">
            <v>0</v>
          </cell>
          <cell r="E134">
            <v>0</v>
          </cell>
          <cell r="F134"/>
          <cell r="G134">
            <v>102202.12</v>
          </cell>
        </row>
        <row r="135">
          <cell r="B135" t="str">
            <v>Provision Jul 20</v>
          </cell>
          <cell r="C135">
            <v>13091.76</v>
          </cell>
          <cell r="D135">
            <v>0</v>
          </cell>
          <cell r="E135">
            <v>0</v>
          </cell>
          <cell r="F135"/>
          <cell r="G135">
            <v>13091.76</v>
          </cell>
        </row>
        <row r="136">
          <cell r="B136" t="str">
            <v>Provision Nov 19 -  Mar 20</v>
          </cell>
          <cell r="C136">
            <v>5107702.9600000298</v>
          </cell>
          <cell r="D136">
            <v>0</v>
          </cell>
          <cell r="E136">
            <v>0</v>
          </cell>
          <cell r="F136"/>
          <cell r="G136">
            <v>5107702.9600000298</v>
          </cell>
        </row>
        <row r="137">
          <cell r="B137" t="str">
            <v>Provision Nov 19 -  Mar 20</v>
          </cell>
          <cell r="C137">
            <v>-3720770</v>
          </cell>
          <cell r="D137">
            <v>0</v>
          </cell>
          <cell r="E137">
            <v>0</v>
          </cell>
          <cell r="F137"/>
          <cell r="G137">
            <v>-3720770</v>
          </cell>
        </row>
        <row r="138">
          <cell r="B138" t="str">
            <v>Provision Nov 19 -  Mar 20</v>
          </cell>
          <cell r="C138">
            <v>-3724975</v>
          </cell>
          <cell r="D138">
            <v>0</v>
          </cell>
          <cell r="E138">
            <v>0</v>
          </cell>
          <cell r="F138"/>
          <cell r="G138">
            <v>-3724975</v>
          </cell>
        </row>
        <row r="139">
          <cell r="B139" t="str">
            <v>Provision Nov 19 -  Mar 20</v>
          </cell>
          <cell r="C139">
            <v>-1453330</v>
          </cell>
          <cell r="D139">
            <v>0</v>
          </cell>
          <cell r="E139">
            <v>0</v>
          </cell>
          <cell r="F139"/>
          <cell r="G139">
            <v>-1453330</v>
          </cell>
        </row>
        <row r="140">
          <cell r="B140" t="str">
            <v>Provision Nov 19 -  Mar 20</v>
          </cell>
          <cell r="C140">
            <v>-1770786</v>
          </cell>
          <cell r="D140">
            <v>0</v>
          </cell>
          <cell r="E140">
            <v>0</v>
          </cell>
          <cell r="F140"/>
          <cell r="G140">
            <v>-1770786</v>
          </cell>
        </row>
        <row r="141">
          <cell r="B141" t="str">
            <v>Sep'20</v>
          </cell>
          <cell r="C141">
            <v>-50435</v>
          </cell>
          <cell r="D141">
            <v>0</v>
          </cell>
          <cell r="E141">
            <v>0</v>
          </cell>
          <cell r="F141"/>
          <cell r="G141">
            <v>-50435</v>
          </cell>
        </row>
        <row r="142">
          <cell r="B142" t="str">
            <v>Provision Nov 19 -  Mar 20</v>
          </cell>
          <cell r="C142">
            <v>8666.4599999999991</v>
          </cell>
          <cell r="D142">
            <v>0</v>
          </cell>
          <cell r="E142">
            <v>0</v>
          </cell>
          <cell r="F142"/>
          <cell r="G142">
            <v>8666.4599999999991</v>
          </cell>
        </row>
        <row r="143">
          <cell r="B143" t="str">
            <v>Provision Nov 19 -  Mar 20</v>
          </cell>
          <cell r="C143">
            <v>1400.4</v>
          </cell>
          <cell r="D143">
            <v>0</v>
          </cell>
          <cell r="E143">
            <v>0</v>
          </cell>
          <cell r="F143"/>
          <cell r="G143">
            <v>1400.4</v>
          </cell>
        </row>
        <row r="144">
          <cell r="B144" t="str">
            <v>Provision May'20</v>
          </cell>
          <cell r="C144">
            <v>246620</v>
          </cell>
          <cell r="D144"/>
          <cell r="E144"/>
          <cell r="F144"/>
          <cell r="G144"/>
        </row>
        <row r="145">
          <cell r="B145" t="str">
            <v>Provision May'20</v>
          </cell>
          <cell r="C145">
            <v>75068</v>
          </cell>
          <cell r="D145"/>
          <cell r="E145"/>
          <cell r="F145"/>
          <cell r="G145"/>
        </row>
        <row r="146">
          <cell r="B146" t="str">
            <v>Provision May'20</v>
          </cell>
          <cell r="C146">
            <v>248118</v>
          </cell>
          <cell r="D146"/>
          <cell r="E146"/>
          <cell r="F146"/>
          <cell r="G146"/>
        </row>
        <row r="147">
          <cell r="B147" t="str">
            <v>FI2000000001 Conv October'20</v>
          </cell>
          <cell r="C147">
            <v>3256142.22</v>
          </cell>
          <cell r="D147">
            <v>195368.53320000001</v>
          </cell>
          <cell r="E147">
            <v>195368.53320000001</v>
          </cell>
          <cell r="F147"/>
          <cell r="G147">
            <v>3646879.2864000001</v>
          </cell>
        </row>
        <row r="148">
          <cell r="B148" t="str">
            <v>Conv October</v>
          </cell>
          <cell r="C148">
            <v>22947.200000000001</v>
          </cell>
          <cell r="D148">
            <v>1376.8320000000001</v>
          </cell>
          <cell r="E148">
            <v>1376.8320000000001</v>
          </cell>
          <cell r="F148"/>
          <cell r="G148">
            <v>25700.863999999998</v>
          </cell>
        </row>
        <row r="149">
          <cell r="B149" t="str">
            <v>FI2000000002 Fixed Wagon October'20</v>
          </cell>
          <cell r="C149">
            <v>248118</v>
          </cell>
          <cell r="D149">
            <v>14887.08</v>
          </cell>
          <cell r="E149">
            <v>14887.08</v>
          </cell>
          <cell r="F149"/>
          <cell r="G149">
            <v>277892.16000000003</v>
          </cell>
        </row>
        <row r="150">
          <cell r="B150" t="str">
            <v>FI2000000003 Fixed Trailor October'20</v>
          </cell>
          <cell r="C150">
            <v>75068</v>
          </cell>
          <cell r="D150">
            <v>4504.08</v>
          </cell>
          <cell r="E150">
            <v>4504.08</v>
          </cell>
          <cell r="F150"/>
          <cell r="G150">
            <v>84076.160000000003</v>
          </cell>
        </row>
        <row r="151">
          <cell r="B151" t="str">
            <v>FI2000000004 Fixed Packing October'20</v>
          </cell>
          <cell r="C151">
            <v>246620</v>
          </cell>
          <cell r="D151">
            <v>14797.2</v>
          </cell>
          <cell r="E151">
            <v>14797.2</v>
          </cell>
          <cell r="F151"/>
          <cell r="G151">
            <v>276214.40000000002</v>
          </cell>
        </row>
        <row r="152">
          <cell r="B152" t="str">
            <v>FI2000000005 Packaging October'20</v>
          </cell>
          <cell r="C152">
            <v>300055</v>
          </cell>
          <cell r="D152">
            <v>18003.3</v>
          </cell>
          <cell r="E152">
            <v>18003.3</v>
          </cell>
          <cell r="F152"/>
          <cell r="G152">
            <v>336061.6</v>
          </cell>
        </row>
        <row r="153">
          <cell r="B153" t="str">
            <v>FI2000000006 Lab Testing October'20</v>
          </cell>
          <cell r="C153">
            <v>37298.449999999997</v>
          </cell>
          <cell r="D153">
            <v>2237.9070000000002</v>
          </cell>
          <cell r="E153">
            <v>2237.9070000000002</v>
          </cell>
          <cell r="F153"/>
          <cell r="G153">
            <v>41774.263999999996</v>
          </cell>
        </row>
        <row r="154">
          <cell r="B154" t="str">
            <v>Nov'20 Prov November</v>
          </cell>
          <cell r="C154">
            <v>3923391.6</v>
          </cell>
          <cell r="D154">
            <v>235403.49600000001</v>
          </cell>
          <cell r="E154">
            <v>235403.49600000001</v>
          </cell>
          <cell r="F154"/>
          <cell r="G154">
            <v>4394198.5920000002</v>
          </cell>
        </row>
        <row r="155">
          <cell r="B155" t="str">
            <v>TOTAL OS 1172</v>
          </cell>
          <cell r="C155">
            <v>3192214.1700000302</v>
          </cell>
          <cell r="D155">
            <v>486578.42819999997</v>
          </cell>
          <cell r="E155">
            <v>486578.42819999997</v>
          </cell>
          <cell r="F155" t="e">
            <v>#REF!</v>
          </cell>
          <cell r="G155">
            <v>3595565.0264000306</v>
          </cell>
        </row>
        <row r="156">
          <cell r="B156"/>
          <cell r="C156"/>
          <cell r="D156"/>
          <cell r="E156"/>
          <cell r="F156"/>
          <cell r="G156"/>
        </row>
        <row r="157">
          <cell r="B157"/>
          <cell r="C157"/>
          <cell r="D157"/>
          <cell r="E157"/>
          <cell r="F157"/>
          <cell r="G157"/>
        </row>
        <row r="158">
          <cell r="B158" t="str">
            <v>PLANT 1180</v>
          </cell>
          <cell r="C158" t="str">
            <v>Basic Value</v>
          </cell>
          <cell r="D158" t="str">
            <v>CGST</v>
          </cell>
          <cell r="E158" t="str">
            <v>SGST</v>
          </cell>
          <cell r="F158"/>
          <cell r="G158" t="str">
            <v>Total</v>
          </cell>
        </row>
        <row r="159">
          <cell r="B159"/>
          <cell r="C159">
            <v>0</v>
          </cell>
          <cell r="D159">
            <v>0</v>
          </cell>
          <cell r="E159"/>
          <cell r="F159"/>
          <cell r="G159">
            <v>0</v>
          </cell>
        </row>
        <row r="160">
          <cell r="B160" t="str">
            <v>TOTAL OS 1180</v>
          </cell>
          <cell r="C160">
            <v>0</v>
          </cell>
          <cell r="D160">
            <v>0</v>
          </cell>
          <cell r="E160">
            <v>0</v>
          </cell>
          <cell r="F160"/>
          <cell r="G160">
            <v>0</v>
          </cell>
        </row>
        <row r="161">
          <cell r="B161"/>
          <cell r="C161"/>
          <cell r="D161"/>
          <cell r="E161"/>
          <cell r="F161"/>
          <cell r="G161"/>
        </row>
        <row r="163">
          <cell r="B163" t="str">
            <v>PLANT 1133</v>
          </cell>
          <cell r="C163" t="str">
            <v>Basic Value</v>
          </cell>
          <cell r="D163" t="str">
            <v>CGST</v>
          </cell>
          <cell r="E163" t="str">
            <v>SGST</v>
          </cell>
          <cell r="F163"/>
          <cell r="G163" t="str">
            <v>Total</v>
          </cell>
        </row>
        <row r="164">
          <cell r="B164"/>
          <cell r="C164"/>
          <cell r="D164"/>
          <cell r="E164"/>
          <cell r="F164"/>
          <cell r="G164"/>
        </row>
        <row r="165">
          <cell r="B165" t="str">
            <v>SI20201/000035 October'20</v>
          </cell>
          <cell r="C165">
            <v>5055472.3859999999</v>
          </cell>
          <cell r="D165">
            <v>312290.82468000002</v>
          </cell>
          <cell r="E165">
            <v>312290.82468000002</v>
          </cell>
          <cell r="F165"/>
          <cell r="G165">
            <v>5680054.0353599992</v>
          </cell>
        </row>
        <row r="166">
          <cell r="B166" t="str">
            <v>Nov'20 Prov November</v>
          </cell>
          <cell r="C166">
            <v>5019353.59</v>
          </cell>
          <cell r="D166">
            <v>301161.21539999999</v>
          </cell>
          <cell r="E166">
            <v>301161.21539999999</v>
          </cell>
          <cell r="F166"/>
          <cell r="G166">
            <v>5621676.0208000001</v>
          </cell>
        </row>
        <row r="167">
          <cell r="B167" t="str">
            <v>TOTAL OS 1133</v>
          </cell>
          <cell r="C167">
            <v>10074825.976</v>
          </cell>
          <cell r="D167">
            <v>613452.04007999995</v>
          </cell>
          <cell r="E167">
            <v>613452.04007999995</v>
          </cell>
          <cell r="F167" t="e">
            <v>#REF!</v>
          </cell>
          <cell r="G167">
            <v>11301730.056159999</v>
          </cell>
        </row>
        <row r="168">
          <cell r="B168"/>
          <cell r="C168"/>
          <cell r="D168"/>
          <cell r="E168"/>
          <cell r="F168"/>
          <cell r="G168"/>
        </row>
        <row r="170">
          <cell r="B170" t="str">
            <v>PLANT 1161</v>
          </cell>
          <cell r="C170" t="str">
            <v>Basic Value</v>
          </cell>
          <cell r="D170" t="str">
            <v>CGST</v>
          </cell>
          <cell r="E170" t="str">
            <v>SGST</v>
          </cell>
          <cell r="F170"/>
          <cell r="G170" t="str">
            <v>Total</v>
          </cell>
        </row>
        <row r="171">
          <cell r="B171"/>
          <cell r="C171"/>
          <cell r="D171"/>
          <cell r="E171"/>
          <cell r="F171"/>
          <cell r="G171"/>
        </row>
        <row r="172">
          <cell r="B172" t="str">
            <v>TOTAL OS 1161</v>
          </cell>
          <cell r="C172">
            <v>0</v>
          </cell>
          <cell r="D172">
            <v>0</v>
          </cell>
          <cell r="E172">
            <v>0</v>
          </cell>
          <cell r="F172"/>
          <cell r="G172">
            <v>0</v>
          </cell>
        </row>
        <row r="173">
          <cell r="B173"/>
          <cell r="C173"/>
          <cell r="D173"/>
          <cell r="E173"/>
          <cell r="F173"/>
          <cell r="G173"/>
        </row>
        <row r="175">
          <cell r="B175" t="str">
            <v>PLANT 3155</v>
          </cell>
          <cell r="C175" t="str">
            <v>Basic Value</v>
          </cell>
          <cell r="D175" t="str">
            <v>CGST</v>
          </cell>
          <cell r="E175" t="str">
            <v>SGST</v>
          </cell>
          <cell r="F175"/>
          <cell r="G175" t="str">
            <v>Total</v>
          </cell>
        </row>
        <row r="176">
          <cell r="B176"/>
          <cell r="C176"/>
          <cell r="D176"/>
          <cell r="E176"/>
          <cell r="G176"/>
        </row>
        <row r="177">
          <cell r="B177" t="str">
            <v>SI20271/000100 October'20</v>
          </cell>
          <cell r="C177">
            <v>2146854.9280000101</v>
          </cell>
          <cell r="D177">
            <v>438186.41004000098</v>
          </cell>
          <cell r="E177">
            <v>438186.41004000098</v>
          </cell>
          <cell r="F177"/>
          <cell r="G177">
            <v>3023227.7480800119</v>
          </cell>
        </row>
        <row r="178">
          <cell r="B178" t="str">
            <v>Nov'20</v>
          </cell>
          <cell r="C178">
            <v>2561966.7360000098</v>
          </cell>
          <cell r="D178">
            <v>153718.00416000059</v>
          </cell>
          <cell r="E178">
            <v>153718.00416000059</v>
          </cell>
          <cell r="F178"/>
          <cell r="G178">
            <v>2869402.7443200108</v>
          </cell>
        </row>
        <row r="179">
          <cell r="B179" t="str">
            <v>TOTAL OS 3155</v>
          </cell>
          <cell r="C179">
            <v>4708821.6640000194</v>
          </cell>
          <cell r="D179">
            <v>591904.41420000163</v>
          </cell>
          <cell r="E179">
            <v>591904.41420000163</v>
          </cell>
          <cell r="F179" t="e">
            <v>#REF!</v>
          </cell>
          <cell r="G179">
            <v>5892630.4924000222</v>
          </cell>
        </row>
        <row r="180">
          <cell r="B180"/>
          <cell r="C180"/>
          <cell r="D180"/>
          <cell r="E180"/>
          <cell r="F180"/>
          <cell r="G180"/>
        </row>
        <row r="181">
          <cell r="D181"/>
          <cell r="G181"/>
        </row>
        <row r="182">
          <cell r="B182" t="str">
            <v>PLANT 1162</v>
          </cell>
          <cell r="C182" t="str">
            <v>Basic Value</v>
          </cell>
          <cell r="D182"/>
          <cell r="E182"/>
          <cell r="F182"/>
          <cell r="G182"/>
        </row>
        <row r="183">
          <cell r="B183"/>
          <cell r="C183"/>
          <cell r="D183"/>
          <cell r="E183"/>
          <cell r="F183"/>
          <cell r="G183">
            <v>0</v>
          </cell>
        </row>
        <row r="184">
          <cell r="B184" t="str">
            <v>TOTAL OS 1162</v>
          </cell>
          <cell r="C184">
            <v>0</v>
          </cell>
          <cell r="D184">
            <v>0</v>
          </cell>
          <cell r="E184">
            <v>0</v>
          </cell>
          <cell r="F184" t="e">
            <v>#REF!</v>
          </cell>
          <cell r="G184">
            <v>0</v>
          </cell>
        </row>
        <row r="185">
          <cell r="B185"/>
          <cell r="C185"/>
          <cell r="D185"/>
          <cell r="E185"/>
          <cell r="F185"/>
          <cell r="G185"/>
        </row>
        <row r="186">
          <cell r="G186"/>
        </row>
        <row r="187">
          <cell r="B187" t="str">
            <v>PLANT 1164</v>
          </cell>
          <cell r="C187" t="str">
            <v>Basic Value</v>
          </cell>
          <cell r="D187" t="str">
            <v>CGST</v>
          </cell>
          <cell r="E187" t="str">
            <v>SGST</v>
          </cell>
          <cell r="F187"/>
          <cell r="G187" t="str">
            <v>Total</v>
          </cell>
        </row>
        <row r="188">
          <cell r="B188"/>
          <cell r="C188"/>
          <cell r="D188"/>
          <cell r="E188"/>
          <cell r="F188"/>
          <cell r="G188"/>
        </row>
        <row r="189">
          <cell r="B189" t="str">
            <v>BMWIL-GMH-65 September</v>
          </cell>
          <cell r="C189">
            <v>1408756.0999999999</v>
          </cell>
          <cell r="D189">
            <v>136387.80900000001</v>
          </cell>
          <cell r="E189">
            <v>136387.80900000001</v>
          </cell>
          <cell r="F189"/>
          <cell r="G189">
            <v>1681531.7179999999</v>
          </cell>
        </row>
        <row r="190">
          <cell r="B190" t="str">
            <v>BMWIL-GMH-66 September</v>
          </cell>
          <cell r="C190">
            <v>412546.17</v>
          </cell>
          <cell r="D190">
            <v>37129.155299999999</v>
          </cell>
          <cell r="E190">
            <v>37129.155299999999</v>
          </cell>
          <cell r="F190"/>
          <cell r="G190">
            <v>486804.48059999995</v>
          </cell>
        </row>
        <row r="191">
          <cell r="B191" t="str">
            <v>BMWIL-GMH-67 September</v>
          </cell>
          <cell r="C191">
            <v>13398</v>
          </cell>
          <cell r="D191">
            <v>803.88</v>
          </cell>
          <cell r="E191">
            <v>803.88</v>
          </cell>
          <cell r="F191"/>
          <cell r="G191">
            <v>15005.759999999998</v>
          </cell>
        </row>
        <row r="192">
          <cell r="B192" t="str">
            <v>BMWIL-GMH-75 October</v>
          </cell>
          <cell r="C192">
            <v>2154751.54</v>
          </cell>
          <cell r="D192">
            <v>291829.40759999998</v>
          </cell>
          <cell r="E192">
            <v>291829.40759999998</v>
          </cell>
          <cell r="F192"/>
          <cell r="G192">
            <v>2738410.3552000001</v>
          </cell>
        </row>
        <row r="193">
          <cell r="B193" t="str">
            <v>BMWIL-GMH-76 October</v>
          </cell>
          <cell r="C193">
            <v>753492.21</v>
          </cell>
          <cell r="D193">
            <v>67814.298899999994</v>
          </cell>
          <cell r="E193">
            <v>67814.298899999994</v>
          </cell>
          <cell r="F193"/>
          <cell r="G193">
            <v>889120.80780000007</v>
          </cell>
        </row>
        <row r="194">
          <cell r="B194" t="str">
            <v>SV1501000007 November</v>
          </cell>
          <cell r="C194">
            <v>2458380.09</v>
          </cell>
          <cell r="D194">
            <v>212020.01879999999</v>
          </cell>
          <cell r="E194">
            <v>212020.01879999999</v>
          </cell>
          <cell r="F194"/>
          <cell r="G194">
            <v>2882420.1276000002</v>
          </cell>
        </row>
        <row r="195">
          <cell r="B195" t="str">
            <v>SV1501000008 November</v>
          </cell>
          <cell r="C195">
            <v>659765.37</v>
          </cell>
          <cell r="D195">
            <v>59378.883300000001</v>
          </cell>
          <cell r="E195">
            <v>59378.883300000001</v>
          </cell>
          <cell r="F195"/>
          <cell r="G195">
            <v>778523.13659999997</v>
          </cell>
        </row>
        <row r="196">
          <cell r="B196" t="str">
            <v>TOTAL OS 1164</v>
          </cell>
          <cell r="C196">
            <v>7861089.4799999995</v>
          </cell>
          <cell r="D196">
            <v>805363.45289999992</v>
          </cell>
          <cell r="E196">
            <v>805363.45289999992</v>
          </cell>
          <cell r="F196" t="e">
            <v>#REF!</v>
          </cell>
          <cell r="G196">
            <v>9471816.3858000021</v>
          </cell>
        </row>
        <row r="197">
          <cell r="B197"/>
          <cell r="C197"/>
          <cell r="D197"/>
          <cell r="E197"/>
          <cell r="F197"/>
          <cell r="G197"/>
        </row>
        <row r="199">
          <cell r="B199" t="str">
            <v>PLANT 3154</v>
          </cell>
          <cell r="C199" t="str">
            <v>Basic Value</v>
          </cell>
          <cell r="D199" t="str">
            <v>CGST</v>
          </cell>
          <cell r="E199" t="str">
            <v>SGST</v>
          </cell>
          <cell r="F199"/>
          <cell r="G199" t="str">
            <v>Total</v>
          </cell>
        </row>
        <row r="200">
          <cell r="B200"/>
          <cell r="C200"/>
          <cell r="D200">
            <v>0</v>
          </cell>
          <cell r="E200">
            <v>0</v>
          </cell>
          <cell r="F200"/>
          <cell r="G200"/>
        </row>
        <row r="201">
          <cell r="B201"/>
          <cell r="C201">
            <v>0</v>
          </cell>
          <cell r="D201"/>
          <cell r="E201"/>
          <cell r="F201"/>
          <cell r="G201">
            <v>0</v>
          </cell>
        </row>
        <row r="202">
          <cell r="B202" t="str">
            <v>JW/2021/00945 November</v>
          </cell>
          <cell r="C202">
            <v>0</v>
          </cell>
          <cell r="D202">
            <v>4157.8152</v>
          </cell>
          <cell r="E202">
            <v>4157.8152</v>
          </cell>
          <cell r="F202"/>
          <cell r="G202">
            <v>8315.6304</v>
          </cell>
        </row>
        <row r="203">
          <cell r="B203" t="str">
            <v>TOTAL OS 3154</v>
          </cell>
          <cell r="C203">
            <v>0</v>
          </cell>
          <cell r="D203">
            <v>4157.8152</v>
          </cell>
          <cell r="E203">
            <v>4157.8152</v>
          </cell>
          <cell r="F203" t="e">
            <v>#REF!</v>
          </cell>
          <cell r="G203">
            <v>8315.6304</v>
          </cell>
        </row>
        <row r="204">
          <cell r="B204"/>
          <cell r="C204"/>
          <cell r="D204"/>
          <cell r="E204"/>
          <cell r="F204"/>
          <cell r="G204"/>
        </row>
        <row r="205">
          <cell r="G205"/>
        </row>
        <row r="206">
          <cell r="B206" t="str">
            <v>PLANT 1135</v>
          </cell>
          <cell r="C206" t="str">
            <v>BMW INDUSTRIES LIMITED</v>
          </cell>
          <cell r="D206"/>
          <cell r="E206"/>
          <cell r="F206"/>
          <cell r="G206"/>
        </row>
        <row r="207">
          <cell r="B207" t="str">
            <v>Vendor 16036</v>
          </cell>
          <cell r="C207" t="str">
            <v>Basic Value</v>
          </cell>
          <cell r="D207" t="str">
            <v>CGST</v>
          </cell>
          <cell r="E207" t="str">
            <v>SGST</v>
          </cell>
          <cell r="F207" t="str">
            <v>ST</v>
          </cell>
          <cell r="G207" t="str">
            <v>Total</v>
          </cell>
        </row>
        <row r="208">
          <cell r="B208"/>
          <cell r="C208"/>
          <cell r="D208"/>
          <cell r="E208"/>
          <cell r="F208"/>
          <cell r="G208"/>
        </row>
        <row r="209">
          <cell r="B209" t="str">
            <v>BMWIL-MANF-11 June</v>
          </cell>
          <cell r="C209">
            <v>404.46</v>
          </cell>
          <cell r="D209">
            <v>24.267600000000002</v>
          </cell>
          <cell r="E209">
            <v>24.267600000000002</v>
          </cell>
          <cell r="F209"/>
          <cell r="G209">
            <v>452.99520000000001</v>
          </cell>
        </row>
        <row r="210">
          <cell r="B210" t="str">
            <v>BMWIL-MANF-19 September</v>
          </cell>
          <cell r="C210">
            <v>84138.034</v>
          </cell>
          <cell r="D210">
            <v>5048.2820400000001</v>
          </cell>
          <cell r="E210">
            <v>5048.2820400000001</v>
          </cell>
          <cell r="F210"/>
          <cell r="G210">
            <v>94234.598080000011</v>
          </cell>
        </row>
        <row r="211">
          <cell r="B211" t="str">
            <v>BMWIL-MANF-20 October</v>
          </cell>
          <cell r="C211">
            <v>3572.16</v>
          </cell>
          <cell r="D211">
            <v>214.3296</v>
          </cell>
          <cell r="E211">
            <v>214.3296</v>
          </cell>
          <cell r="F211"/>
          <cell r="G211">
            <v>4000.8191999999999</v>
          </cell>
        </row>
        <row r="212">
          <cell r="B212" t="str">
            <v>SV2110000005 November</v>
          </cell>
          <cell r="C212">
            <v>28034.672999999999</v>
          </cell>
          <cell r="D212">
            <v>1682.0803800000001</v>
          </cell>
          <cell r="E212">
            <v>1682.0803800000001</v>
          </cell>
          <cell r="F212"/>
          <cell r="G212">
            <v>31398.833759999998</v>
          </cell>
        </row>
        <row r="213">
          <cell r="B213" t="str">
            <v>TOTAL OS 1135</v>
          </cell>
          <cell r="C213">
            <v>116149.327</v>
          </cell>
          <cell r="D213">
            <v>6968.9596200000005</v>
          </cell>
          <cell r="E213">
            <v>6968.9596200000005</v>
          </cell>
          <cell r="F213" t="e">
            <v>#REF!</v>
          </cell>
          <cell r="G213">
            <v>130087.24624000001</v>
          </cell>
        </row>
        <row r="214">
          <cell r="B214"/>
          <cell r="C214"/>
          <cell r="D214"/>
          <cell r="E214"/>
          <cell r="F214"/>
          <cell r="G214"/>
        </row>
        <row r="215">
          <cell r="B215"/>
          <cell r="G215"/>
        </row>
        <row r="216">
          <cell r="B216" t="str">
            <v>PLANT 2218</v>
          </cell>
          <cell r="C216" t="str">
            <v>Basic Value</v>
          </cell>
          <cell r="D216" t="str">
            <v>CGST</v>
          </cell>
          <cell r="E216" t="str">
            <v>SGST</v>
          </cell>
          <cell r="F216"/>
          <cell r="G216" t="str">
            <v>Total</v>
          </cell>
        </row>
        <row r="217">
          <cell r="B217"/>
          <cell r="C217"/>
          <cell r="D217"/>
          <cell r="E217"/>
          <cell r="F217"/>
          <cell r="G217"/>
        </row>
        <row r="218">
          <cell r="B218" t="str">
            <v>SI20064/000003 June</v>
          </cell>
          <cell r="C218">
            <v>859325.7132142859</v>
          </cell>
          <cell r="D218">
            <v>51559.542792857152</v>
          </cell>
          <cell r="E218">
            <v>51559.542792857152</v>
          </cell>
          <cell r="F218"/>
          <cell r="G218">
            <v>962444.79880000022</v>
          </cell>
        </row>
        <row r="219">
          <cell r="B219" t="str">
            <v>SI18064/000022 Sep'18</v>
          </cell>
          <cell r="C219">
            <v>106895.02</v>
          </cell>
          <cell r="D219">
            <v>9620.5517999999993</v>
          </cell>
          <cell r="E219">
            <v>9620.5517999999993</v>
          </cell>
          <cell r="F219"/>
          <cell r="G219">
            <v>126136.12360000001</v>
          </cell>
        </row>
        <row r="220">
          <cell r="B220" t="str">
            <v>Provision November</v>
          </cell>
          <cell r="C220">
            <v>9391728.2370000202</v>
          </cell>
          <cell r="D220">
            <v>563503.69422000099</v>
          </cell>
          <cell r="E220">
            <v>563503.69422000099</v>
          </cell>
          <cell r="F220"/>
          <cell r="G220">
            <v>10518735.625440022</v>
          </cell>
        </row>
        <row r="221">
          <cell r="B221" t="str">
            <v>Provision for Pallet November</v>
          </cell>
          <cell r="C221">
            <v>19200</v>
          </cell>
          <cell r="D221">
            <v>1152</v>
          </cell>
          <cell r="E221">
            <v>1152</v>
          </cell>
          <cell r="F221"/>
          <cell r="G221">
            <v>21504</v>
          </cell>
        </row>
        <row r="222">
          <cell r="B222" t="str">
            <v>TOTAL OS 2218</v>
          </cell>
          <cell r="C222">
            <v>10377148.970214305</v>
          </cell>
          <cell r="D222">
            <v>625835.78881285817</v>
          </cell>
          <cell r="E222">
            <v>625835.78881285817</v>
          </cell>
          <cell r="F222" t="e">
            <v>#REF!</v>
          </cell>
          <cell r="G222">
            <v>11628820.547840022</v>
          </cell>
        </row>
        <row r="223">
          <cell r="B223"/>
          <cell r="C223"/>
          <cell r="D223"/>
          <cell r="E223"/>
          <cell r="F223"/>
          <cell r="G223"/>
        </row>
        <row r="224">
          <cell r="G224"/>
        </row>
        <row r="225">
          <cell r="B225" t="str">
            <v>PLANT 3112</v>
          </cell>
          <cell r="C225" t="str">
            <v>Basic Value</v>
          </cell>
          <cell r="D225" t="str">
            <v>CGST</v>
          </cell>
          <cell r="E225" t="str">
            <v>SGST</v>
          </cell>
          <cell r="F225"/>
          <cell r="G225" t="str">
            <v>Total</v>
          </cell>
        </row>
        <row r="226">
          <cell r="B226"/>
          <cell r="C226"/>
          <cell r="D226"/>
          <cell r="E226"/>
          <cell r="F226"/>
          <cell r="G226"/>
        </row>
        <row r="227">
          <cell r="B227" t="str">
            <v>JW/2021/00779 October</v>
          </cell>
          <cell r="C227">
            <v>1064016.1299999999</v>
          </cell>
          <cell r="D227">
            <v>101408.6352</v>
          </cell>
          <cell r="E227">
            <v>101408.6352</v>
          </cell>
          <cell r="F227"/>
          <cell r="G227">
            <v>1266833.4003999997</v>
          </cell>
        </row>
        <row r="228">
          <cell r="B228" t="str">
            <v>JW/2021/00610 September</v>
          </cell>
          <cell r="C228">
            <v>508086.24392857007</v>
          </cell>
          <cell r="D228">
            <v>116666.22659999999</v>
          </cell>
          <cell r="E228">
            <v>116666.22659999999</v>
          </cell>
          <cell r="F228"/>
          <cell r="G228">
            <v>741418.69712856994</v>
          </cell>
        </row>
        <row r="229">
          <cell r="B229" t="str">
            <v>JW/2021/00944 November</v>
          </cell>
          <cell r="C229">
            <v>874939</v>
          </cell>
          <cell r="D229">
            <v>114602.02800000001</v>
          </cell>
          <cell r="E229">
            <v>114602.02800000001</v>
          </cell>
          <cell r="F229"/>
          <cell r="G229">
            <v>1104143.0560000001</v>
          </cell>
        </row>
        <row r="230">
          <cell r="B230" t="str">
            <v>TOTAL OS 3112</v>
          </cell>
          <cell r="C230">
            <v>2447041.3739285702</v>
          </cell>
          <cell r="D230">
            <v>332676.8898</v>
          </cell>
          <cell r="E230">
            <v>332676.8898</v>
          </cell>
          <cell r="F230" t="e">
            <v>#REF!</v>
          </cell>
          <cell r="G230">
            <v>3112395.1535285697</v>
          </cell>
        </row>
        <row r="231">
          <cell r="B231"/>
          <cell r="C231"/>
          <cell r="D231"/>
          <cell r="E231"/>
          <cell r="F231"/>
          <cell r="G231"/>
        </row>
        <row r="232">
          <cell r="G232"/>
        </row>
        <row r="233">
          <cell r="B233" t="str">
            <v>PLANT 1111</v>
          </cell>
          <cell r="C233" t="str">
            <v>Basic Value</v>
          </cell>
          <cell r="D233" t="str">
            <v>CGST</v>
          </cell>
          <cell r="E233" t="str">
            <v>SGST</v>
          </cell>
          <cell r="F233"/>
          <cell r="G233" t="str">
            <v>Total</v>
          </cell>
        </row>
        <row r="234">
          <cell r="B234" t="str">
            <v>SI20201/000036 October'20</v>
          </cell>
          <cell r="C234">
            <v>18738552.983999997</v>
          </cell>
          <cell r="D234">
            <v>1190098.3468800001</v>
          </cell>
          <cell r="E234">
            <v>1190098.3468800001</v>
          </cell>
          <cell r="F234"/>
          <cell r="G234">
            <v>21118749.677759998</v>
          </cell>
        </row>
        <row r="235">
          <cell r="B235" t="str">
            <v>Nov'20 Prov November</v>
          </cell>
          <cell r="C235">
            <v>16306826.384999998</v>
          </cell>
          <cell r="D235">
            <v>1032810.7569</v>
          </cell>
          <cell r="E235">
            <v>1032810.7569</v>
          </cell>
          <cell r="F235"/>
          <cell r="G235">
            <v>18372447.898800001</v>
          </cell>
        </row>
        <row r="236">
          <cell r="B236" t="str">
            <v>TOTAL OS 1111</v>
          </cell>
          <cell r="C236">
            <v>35045379.368999995</v>
          </cell>
          <cell r="D236">
            <v>2222909.10378</v>
          </cell>
          <cell r="E236">
            <v>2222909.10378</v>
          </cell>
          <cell r="F236" t="e">
            <v>#REF!</v>
          </cell>
          <cell r="G236">
            <v>39491197.576559998</v>
          </cell>
        </row>
        <row r="237">
          <cell r="B237"/>
          <cell r="C237"/>
          <cell r="D237"/>
          <cell r="E237"/>
          <cell r="F237"/>
        </row>
        <row r="238">
          <cell r="D238"/>
        </row>
        <row r="239">
          <cell r="B239" t="str">
            <v>PLANT 1134</v>
          </cell>
          <cell r="C239" t="str">
            <v>Basic Value</v>
          </cell>
          <cell r="D239" t="str">
            <v>CSGT</v>
          </cell>
          <cell r="E239" t="str">
            <v>SGST</v>
          </cell>
          <cell r="F239"/>
          <cell r="G239" t="str">
            <v>Total</v>
          </cell>
        </row>
        <row r="240">
          <cell r="B240"/>
          <cell r="C240"/>
          <cell r="D240"/>
          <cell r="E240"/>
          <cell r="F240"/>
          <cell r="G240"/>
        </row>
        <row r="241">
          <cell r="B241" t="str">
            <v>SI20202/000096 Sep'20</v>
          </cell>
          <cell r="C241">
            <v>1141700.4299999997</v>
          </cell>
          <cell r="D241">
            <v>68502.025799999974</v>
          </cell>
          <cell r="E241">
            <v>68502.025799999974</v>
          </cell>
          <cell r="F241"/>
          <cell r="G241">
            <v>1278704.4815999996</v>
          </cell>
        </row>
        <row r="242">
          <cell r="B242" t="str">
            <v>Prov Conv October</v>
          </cell>
          <cell r="C242">
            <v>1066203.45</v>
          </cell>
          <cell r="D242">
            <v>63972.207000000002</v>
          </cell>
          <cell r="E242">
            <v>63972.207000000002</v>
          </cell>
          <cell r="F242"/>
          <cell r="G242">
            <v>1194147.8639999998</v>
          </cell>
        </row>
        <row r="243">
          <cell r="B243" t="str">
            <v>Nov'20 Prov November</v>
          </cell>
          <cell r="C243">
            <v>1065744.675</v>
          </cell>
          <cell r="D243">
            <v>63944.680500000002</v>
          </cell>
          <cell r="E243">
            <v>63944.680500000002</v>
          </cell>
          <cell r="F243"/>
          <cell r="G243">
            <v>1193634.0360000001</v>
          </cell>
        </row>
        <row r="244">
          <cell r="B244" t="str">
            <v>TOTAL OS 1134</v>
          </cell>
          <cell r="C244">
            <v>3273648.5549999997</v>
          </cell>
          <cell r="D244">
            <v>196418.91329999996</v>
          </cell>
          <cell r="E244">
            <v>196418.91329999996</v>
          </cell>
          <cell r="F244" t="e">
            <v>#REF!</v>
          </cell>
          <cell r="G244">
            <v>3666486.3816</v>
          </cell>
        </row>
        <row r="245">
          <cell r="B245"/>
          <cell r="C245"/>
          <cell r="D245"/>
          <cell r="E245"/>
          <cell r="F245"/>
        </row>
        <row r="246">
          <cell r="B246"/>
          <cell r="C246"/>
          <cell r="D246"/>
          <cell r="E246"/>
          <cell r="F246"/>
        </row>
        <row r="247">
          <cell r="B247" t="str">
            <v>PLANT 1179</v>
          </cell>
          <cell r="C247" t="str">
            <v>Basic Value</v>
          </cell>
          <cell r="D247" t="str">
            <v>CGST</v>
          </cell>
          <cell r="E247" t="str">
            <v>SGST</v>
          </cell>
          <cell r="F247"/>
          <cell r="G247" t="str">
            <v>Total</v>
          </cell>
        </row>
        <row r="248">
          <cell r="B248"/>
          <cell r="C248"/>
          <cell r="D248">
            <v>0</v>
          </cell>
          <cell r="E248">
            <v>0</v>
          </cell>
          <cell r="F248"/>
          <cell r="G248">
            <v>0</v>
          </cell>
        </row>
        <row r="249">
          <cell r="B249" t="str">
            <v>SI20202/000103 October'20</v>
          </cell>
          <cell r="C249">
            <v>294817.50400000002</v>
          </cell>
          <cell r="D249">
            <v>17689.05024</v>
          </cell>
          <cell r="E249">
            <v>17689.05024</v>
          </cell>
          <cell r="F249"/>
          <cell r="G249">
            <v>330195.60448000004</v>
          </cell>
        </row>
        <row r="250">
          <cell r="B250" t="str">
            <v>Nov'20 Prov November</v>
          </cell>
          <cell r="C250">
            <v>154308.99600000001</v>
          </cell>
          <cell r="D250">
            <v>9258.5397599999997</v>
          </cell>
          <cell r="E250">
            <v>9258.5397599999997</v>
          </cell>
          <cell r="F250"/>
          <cell r="G250">
            <v>172826.07552000001</v>
          </cell>
        </row>
        <row r="251">
          <cell r="B251" t="str">
            <v>TOTAL OS 1179</v>
          </cell>
          <cell r="C251">
            <v>449126.5</v>
          </cell>
          <cell r="D251">
            <v>26947.59</v>
          </cell>
          <cell r="E251">
            <v>26947.59</v>
          </cell>
          <cell r="F251" t="e">
            <v>#REF!</v>
          </cell>
          <cell r="G251">
            <v>503021.68000000005</v>
          </cell>
        </row>
        <row r="252">
          <cell r="B252"/>
          <cell r="C252"/>
          <cell r="D252"/>
          <cell r="E252"/>
          <cell r="F252"/>
          <cell r="G252"/>
        </row>
        <row r="253">
          <cell r="G253"/>
        </row>
        <row r="254">
          <cell r="B254" t="str">
            <v>PLANT 3119</v>
          </cell>
          <cell r="C254" t="str">
            <v>Basic Value</v>
          </cell>
          <cell r="D254" t="str">
            <v>CGST</v>
          </cell>
          <cell r="E254" t="str">
            <v>SGST</v>
          </cell>
          <cell r="F254"/>
          <cell r="G254">
            <v>503021.68000000005</v>
          </cell>
        </row>
        <row r="255">
          <cell r="B255"/>
          <cell r="C255"/>
          <cell r="D255"/>
          <cell r="E255"/>
          <cell r="F255"/>
          <cell r="G255"/>
        </row>
        <row r="256">
          <cell r="B256" t="str">
            <v>PMI20202107 October</v>
          </cell>
          <cell r="C256">
            <v>6573263.6659999797</v>
          </cell>
          <cell r="D256">
            <v>394395.819959999</v>
          </cell>
          <cell r="E256">
            <v>394395.819959999</v>
          </cell>
          <cell r="F256"/>
          <cell r="G256">
            <v>7362055.3059199778</v>
          </cell>
        </row>
        <row r="257">
          <cell r="B257" t="str">
            <v>PMI20202108 November</v>
          </cell>
          <cell r="C257">
            <v>5640362.9340000097</v>
          </cell>
          <cell r="D257">
            <v>338421.77604000003</v>
          </cell>
          <cell r="E257">
            <v>338421.77604000003</v>
          </cell>
          <cell r="F257"/>
          <cell r="G257">
            <v>6317206.4860800095</v>
          </cell>
        </row>
        <row r="258">
          <cell r="B258" t="str">
            <v>TOTAL OS 3119</v>
          </cell>
          <cell r="C258">
            <v>12213626.59999999</v>
          </cell>
          <cell r="D258">
            <v>732817.59599999897</v>
          </cell>
          <cell r="E258">
            <v>732817.59599999897</v>
          </cell>
          <cell r="F258" t="e">
            <v>#REF!</v>
          </cell>
          <cell r="G258">
            <v>13679261.791999988</v>
          </cell>
        </row>
        <row r="259">
          <cell r="B259"/>
          <cell r="C259"/>
          <cell r="D259"/>
          <cell r="E259"/>
          <cell r="F259"/>
          <cell r="G259"/>
        </row>
        <row r="260">
          <cell r="D260"/>
          <cell r="G260"/>
        </row>
        <row r="261">
          <cell r="B261" t="str">
            <v>PLANT 2223</v>
          </cell>
          <cell r="C261" t="str">
            <v>Amt</v>
          </cell>
          <cell r="D261" t="str">
            <v>CGST</v>
          </cell>
          <cell r="E261" t="str">
            <v>SGST</v>
          </cell>
          <cell r="F261"/>
          <cell r="G261" t="str">
            <v>Total</v>
          </cell>
        </row>
        <row r="262">
          <cell r="B262"/>
          <cell r="C262"/>
          <cell r="D262"/>
          <cell r="E262"/>
          <cell r="F262"/>
          <cell r="G262"/>
        </row>
        <row r="263">
          <cell r="B263" t="str">
            <v>AHPL-I/187 May'20</v>
          </cell>
          <cell r="C263">
            <v>128689</v>
          </cell>
          <cell r="D263">
            <v>7721.34</v>
          </cell>
          <cell r="E263">
            <v>7721.34</v>
          </cell>
          <cell r="F263"/>
          <cell r="G263">
            <v>144131.68</v>
          </cell>
        </row>
        <row r="264">
          <cell r="B264" t="str">
            <v>AHPL-1/053 Apr'18</v>
          </cell>
          <cell r="C264">
            <v>49640</v>
          </cell>
          <cell r="D264">
            <v>4467.5999999999995</v>
          </cell>
          <cell r="E264">
            <v>4467.5999999999995</v>
          </cell>
          <cell r="F264"/>
          <cell r="G264">
            <v>58575.199999999997</v>
          </cell>
        </row>
        <row r="265">
          <cell r="B265" t="str">
            <v>AHPL-1/061 December'19</v>
          </cell>
          <cell r="C265">
            <v>41821</v>
          </cell>
          <cell r="D265">
            <v>3763.89</v>
          </cell>
          <cell r="E265">
            <v>3763.89</v>
          </cell>
          <cell r="F265"/>
          <cell r="G265">
            <v>49348.78</v>
          </cell>
        </row>
        <row r="266">
          <cell r="B266" t="str">
            <v>AHPL-1/054 November'19</v>
          </cell>
          <cell r="C266">
            <v>26322.01</v>
          </cell>
          <cell r="D266">
            <v>2368.9809</v>
          </cell>
          <cell r="E266">
            <v>2368.9809</v>
          </cell>
          <cell r="F266"/>
          <cell r="G266">
            <v>31059.971799999996</v>
          </cell>
        </row>
        <row r="267">
          <cell r="B267" t="str">
            <v>TOTAL OS 2223</v>
          </cell>
          <cell r="C267">
            <v>246472.01</v>
          </cell>
          <cell r="D267">
            <v>18321.810899999997</v>
          </cell>
          <cell r="E267">
            <v>18321.810899999997</v>
          </cell>
          <cell r="F267" t="e">
            <v>#REF!</v>
          </cell>
          <cell r="G267">
            <v>283115.63179999997</v>
          </cell>
        </row>
        <row r="268">
          <cell r="B268"/>
          <cell r="C268"/>
          <cell r="D268"/>
          <cell r="E268"/>
          <cell r="F268"/>
          <cell r="G268"/>
        </row>
        <row r="269">
          <cell r="G269"/>
        </row>
        <row r="270">
          <cell r="B270" t="str">
            <v>PLANT 4315</v>
          </cell>
          <cell r="C270" t="str">
            <v>Basic Value</v>
          </cell>
          <cell r="D270" t="str">
            <v>CGST</v>
          </cell>
          <cell r="E270" t="str">
            <v>SGST</v>
          </cell>
          <cell r="F270"/>
          <cell r="G270" t="str">
            <v>Total</v>
          </cell>
        </row>
        <row r="271">
          <cell r="B271"/>
          <cell r="C271"/>
          <cell r="D271"/>
          <cell r="E271"/>
          <cell r="F271"/>
          <cell r="G271"/>
        </row>
        <row r="272">
          <cell r="B272" t="str">
            <v>JWI20009 July</v>
          </cell>
          <cell r="C272">
            <v>48070.1</v>
          </cell>
          <cell r="D272">
            <v>2884.2059999999997</v>
          </cell>
          <cell r="E272">
            <v>2884.2059999999997</v>
          </cell>
          <cell r="F272"/>
          <cell r="G272">
            <v>53838.511999999995</v>
          </cell>
        </row>
        <row r="273">
          <cell r="B273" t="str">
            <v>JWI20020 October</v>
          </cell>
          <cell r="C273">
            <v>2010471.72</v>
          </cell>
          <cell r="D273">
            <v>120628.30319999999</v>
          </cell>
          <cell r="E273">
            <v>120628.30319999999</v>
          </cell>
          <cell r="F273"/>
          <cell r="G273">
            <v>2251728.3264000001</v>
          </cell>
        </row>
        <row r="274">
          <cell r="B274" t="str">
            <v>JWI20013 August</v>
          </cell>
          <cell r="C274">
            <v>21222.924999999999</v>
          </cell>
          <cell r="D274">
            <v>1273.3755000000001</v>
          </cell>
          <cell r="E274">
            <v>1273.3755000000001</v>
          </cell>
          <cell r="F274"/>
          <cell r="G274">
            <v>23769.675999999999</v>
          </cell>
        </row>
        <row r="275">
          <cell r="B275" t="str">
            <v>JWI20016 August</v>
          </cell>
          <cell r="C275">
            <v>5284.5</v>
          </cell>
          <cell r="D275">
            <v>317.07</v>
          </cell>
          <cell r="E275">
            <v>317.07</v>
          </cell>
          <cell r="F275"/>
          <cell r="G275">
            <v>5918.6399999999994</v>
          </cell>
        </row>
        <row r="276">
          <cell r="B276" t="str">
            <v>JWI20023 November</v>
          </cell>
          <cell r="C276">
            <v>1523626.69</v>
          </cell>
          <cell r="D276">
            <v>91417.6014</v>
          </cell>
          <cell r="E276">
            <v>91417.6014</v>
          </cell>
          <cell r="F276"/>
          <cell r="G276">
            <v>1706461.8928</v>
          </cell>
        </row>
        <row r="277">
          <cell r="B277" t="str">
            <v>TOTAL OS 4315</v>
          </cell>
          <cell r="C277">
            <v>3608675.9350000001</v>
          </cell>
          <cell r="D277">
            <v>216520.55609999999</v>
          </cell>
          <cell r="E277">
            <v>216520.55609999999</v>
          </cell>
          <cell r="F277" t="e">
            <v>#REF!</v>
          </cell>
          <cell r="G277">
            <v>4041717.0472000004</v>
          </cell>
        </row>
        <row r="278">
          <cell r="B278"/>
          <cell r="C278"/>
          <cell r="D278"/>
          <cell r="E278"/>
          <cell r="F278"/>
          <cell r="G278"/>
        </row>
        <row r="280">
          <cell r="B280" t="str">
            <v>PLANT 4329</v>
          </cell>
          <cell r="C280" t="str">
            <v>Basic Value</v>
          </cell>
          <cell r="D280" t="str">
            <v>CGST</v>
          </cell>
          <cell r="E280" t="str">
            <v>SGST</v>
          </cell>
          <cell r="F280"/>
          <cell r="G280" t="str">
            <v>Total</v>
          </cell>
        </row>
        <row r="281">
          <cell r="B281"/>
          <cell r="C281"/>
          <cell r="D281"/>
          <cell r="E281"/>
          <cell r="F281"/>
          <cell r="G281"/>
        </row>
        <row r="282">
          <cell r="B282" t="str">
            <v>TOTAL OS 4329</v>
          </cell>
          <cell r="C282">
            <v>0</v>
          </cell>
          <cell r="D282">
            <v>0</v>
          </cell>
          <cell r="E282">
            <v>0</v>
          </cell>
          <cell r="F282" t="e">
            <v>#REF!</v>
          </cell>
          <cell r="G282">
            <v>0</v>
          </cell>
        </row>
        <row r="283">
          <cell r="B283"/>
          <cell r="C283"/>
          <cell r="D283"/>
          <cell r="E283"/>
          <cell r="F283"/>
        </row>
        <row r="285">
          <cell r="B285" t="str">
            <v>PLANT 1254</v>
          </cell>
          <cell r="C285" t="str">
            <v>Basic Value</v>
          </cell>
          <cell r="D285" t="str">
            <v>CGST</v>
          </cell>
          <cell r="E285" t="str">
            <v>SGST</v>
          </cell>
          <cell r="F285"/>
          <cell r="G285" t="str">
            <v>Total</v>
          </cell>
        </row>
        <row r="286">
          <cell r="B286"/>
          <cell r="C286"/>
          <cell r="D286"/>
          <cell r="E286"/>
          <cell r="F286"/>
          <cell r="G286"/>
        </row>
        <row r="287">
          <cell r="B287" t="str">
            <v>MISRM/TMT/CON/04</v>
          </cell>
          <cell r="C287">
            <v>16512169.59</v>
          </cell>
          <cell r="D287">
            <v>990730.17539999995</v>
          </cell>
          <cell r="E287">
            <v>990730.17539999995</v>
          </cell>
          <cell r="F287"/>
          <cell r="G287">
            <v>18493629.9408</v>
          </cell>
        </row>
        <row r="288">
          <cell r="B288" t="str">
            <v>MISRM/TMT/PKG/04</v>
          </cell>
          <cell r="C288">
            <v>259633.2</v>
          </cell>
          <cell r="D288">
            <v>15577.992</v>
          </cell>
          <cell r="E288">
            <v>15577.992</v>
          </cell>
          <cell r="F288"/>
          <cell r="G288">
            <v>290789.18400000007</v>
          </cell>
        </row>
        <row r="289">
          <cell r="B289" t="str">
            <v>MISRM/TMT/SEG/04</v>
          </cell>
          <cell r="C289">
            <v>2554.4</v>
          </cell>
          <cell r="D289">
            <v>153.26400000000001</v>
          </cell>
          <cell r="E289">
            <v>153.26400000000001</v>
          </cell>
          <cell r="F289"/>
          <cell r="G289">
            <v>2860.9280000000003</v>
          </cell>
        </row>
        <row r="290">
          <cell r="B290" t="str">
            <v>MISRM/TMT/CON/05 November</v>
          </cell>
          <cell r="C290">
            <v>17586038.120000001</v>
          </cell>
          <cell r="D290">
            <v>1055162.2871999999</v>
          </cell>
          <cell r="E290">
            <v>1055162.2871999999</v>
          </cell>
          <cell r="F290"/>
          <cell r="G290">
            <v>19696362.694400001</v>
          </cell>
        </row>
        <row r="291">
          <cell r="B291" t="str">
            <v>MISRM/TMT/PKG/05 November</v>
          </cell>
          <cell r="C291">
            <v>274998.84000000003</v>
          </cell>
          <cell r="D291">
            <v>16499.930400000001</v>
          </cell>
          <cell r="E291">
            <v>16499.930400000001</v>
          </cell>
          <cell r="F291"/>
          <cell r="G291">
            <v>307998.70080000005</v>
          </cell>
        </row>
        <row r="292">
          <cell r="B292" t="str">
            <v>MISRM/TMT/SEG/05 November</v>
          </cell>
          <cell r="C292">
            <v>12035.2</v>
          </cell>
          <cell r="D292">
            <v>722.11199999999997</v>
          </cell>
          <cell r="E292">
            <v>722.11199999999997</v>
          </cell>
          <cell r="F292"/>
          <cell r="G292">
            <v>13479.423999999999</v>
          </cell>
        </row>
        <row r="293">
          <cell r="B293" t="str">
            <v>TOTAL OS 1254</v>
          </cell>
          <cell r="C293">
            <v>34647429.350000009</v>
          </cell>
          <cell r="D293">
            <v>2078845.7609999997</v>
          </cell>
          <cell r="E293">
            <v>2078845.7609999997</v>
          </cell>
          <cell r="F293" t="e">
            <v>#REF!</v>
          </cell>
          <cell r="G293">
            <v>38805120.872000001</v>
          </cell>
        </row>
        <row r="294">
          <cell r="B294"/>
          <cell r="C294"/>
          <cell r="D294"/>
          <cell r="E294"/>
          <cell r="F294"/>
        </row>
        <row r="295">
          <cell r="D295"/>
        </row>
        <row r="296">
          <cell r="B296" t="str">
            <v>PLANT 1129</v>
          </cell>
          <cell r="C296" t="str">
            <v>Basic Value</v>
          </cell>
          <cell r="D296" t="str">
            <v>CGST</v>
          </cell>
          <cell r="E296" t="str">
            <v>SGST</v>
          </cell>
          <cell r="F296"/>
          <cell r="G296" t="str">
            <v>Total</v>
          </cell>
        </row>
        <row r="297">
          <cell r="B297"/>
          <cell r="C297"/>
          <cell r="D297"/>
          <cell r="E297"/>
          <cell r="F297"/>
          <cell r="G297"/>
        </row>
        <row r="298">
          <cell r="B298" t="str">
            <v>JBMC/00001/20-21 July</v>
          </cell>
          <cell r="C298">
            <v>106835</v>
          </cell>
          <cell r="D298">
            <v>6410.1</v>
          </cell>
          <cell r="E298">
            <v>6410.1</v>
          </cell>
          <cell r="F298"/>
          <cell r="G298">
            <v>119655.20000000001</v>
          </cell>
        </row>
        <row r="299">
          <cell r="B299" t="str">
            <v>JBCO/00062/20-21</v>
          </cell>
          <cell r="C299">
            <v>41917146.740000002</v>
          </cell>
          <cell r="D299">
            <v>2515028.8044000003</v>
          </cell>
          <cell r="E299">
            <v>2515028.8044000003</v>
          </cell>
          <cell r="F299"/>
          <cell r="G299">
            <v>46947204.348799996</v>
          </cell>
        </row>
        <row r="300">
          <cell r="B300" t="str">
            <v>JBCO/00063/20-21</v>
          </cell>
          <cell r="C300">
            <v>941349.6</v>
          </cell>
          <cell r="D300">
            <v>56480.975999999995</v>
          </cell>
          <cell r="E300">
            <v>56480.975999999995</v>
          </cell>
          <cell r="F300"/>
          <cell r="G300">
            <v>1054311.5519999999</v>
          </cell>
        </row>
        <row r="301">
          <cell r="B301" t="str">
            <v>JBCO/00064/20-21</v>
          </cell>
          <cell r="C301">
            <v>667425.04</v>
          </cell>
          <cell r="D301">
            <v>60068.253600000004</v>
          </cell>
          <cell r="E301">
            <v>60068.253600000004</v>
          </cell>
          <cell r="F301"/>
          <cell r="G301">
            <v>787561.54720000015</v>
          </cell>
        </row>
        <row r="302">
          <cell r="B302" t="str">
            <v>JBCO/00065/20-21</v>
          </cell>
          <cell r="C302">
            <v>20179.2</v>
          </cell>
          <cell r="D302">
            <v>1816.1279999999999</v>
          </cell>
          <cell r="E302">
            <v>1816.1279999999999</v>
          </cell>
          <cell r="F302"/>
          <cell r="G302">
            <v>23811.456000000002</v>
          </cell>
        </row>
        <row r="303">
          <cell r="B303" t="str">
            <v>JBCO/00066/20-21</v>
          </cell>
          <cell r="C303">
            <v>93609.76</v>
          </cell>
          <cell r="D303">
            <v>8424.8783999999996</v>
          </cell>
          <cell r="E303">
            <v>8424.8783999999996</v>
          </cell>
          <cell r="F303"/>
          <cell r="G303">
            <v>110459.5168</v>
          </cell>
        </row>
        <row r="304">
          <cell r="B304" t="str">
            <v>JBCO/00067/20-21</v>
          </cell>
          <cell r="C304">
            <v>70018</v>
          </cell>
          <cell r="D304">
            <v>6301.62</v>
          </cell>
          <cell r="E304">
            <v>6301.62</v>
          </cell>
          <cell r="F304"/>
          <cell r="G304">
            <v>82621.239999999991</v>
          </cell>
        </row>
        <row r="305">
          <cell r="B305" t="str">
            <v>JBCO/00068/20-21 Nov'20</v>
          </cell>
          <cell r="C305">
            <v>39178824</v>
          </cell>
          <cell r="D305">
            <v>2350729.44</v>
          </cell>
          <cell r="E305">
            <v>2350729.44</v>
          </cell>
          <cell r="F305"/>
          <cell r="G305">
            <v>43880282.879999995</v>
          </cell>
        </row>
        <row r="306">
          <cell r="B306" t="str">
            <v>JBCO/00069/20-21 Nov'20</v>
          </cell>
          <cell r="C306">
            <v>1086094</v>
          </cell>
          <cell r="D306">
            <v>97748.46</v>
          </cell>
          <cell r="E306">
            <v>97748.46</v>
          </cell>
          <cell r="F306"/>
          <cell r="G306">
            <v>1281590.92</v>
          </cell>
        </row>
        <row r="307">
          <cell r="B307" t="str">
            <v>JBCO/00070/20-21 Nov'20</v>
          </cell>
          <cell r="C307">
            <v>638982</v>
          </cell>
          <cell r="D307">
            <v>57508.38</v>
          </cell>
          <cell r="E307">
            <v>57508.38</v>
          </cell>
          <cell r="F307"/>
          <cell r="G307">
            <v>753998.76</v>
          </cell>
        </row>
        <row r="308">
          <cell r="B308" t="str">
            <v>JBCO/00071/20-21 Nov'20</v>
          </cell>
          <cell r="C308">
            <v>15478</v>
          </cell>
          <cell r="D308">
            <v>1393.02</v>
          </cell>
          <cell r="E308">
            <v>1393.02</v>
          </cell>
          <cell r="F308"/>
          <cell r="G308">
            <v>18264.04</v>
          </cell>
        </row>
        <row r="309">
          <cell r="B309" t="str">
            <v>JBCO/00072/20-21 Nov'20</v>
          </cell>
          <cell r="C309">
            <v>88737</v>
          </cell>
          <cell r="D309">
            <v>7986.33</v>
          </cell>
          <cell r="E309">
            <v>7986.33</v>
          </cell>
          <cell r="F309"/>
          <cell r="G309">
            <v>104709.66</v>
          </cell>
        </row>
        <row r="310">
          <cell r="B310" t="str">
            <v>JBCO/00073/20-21 Nov'20</v>
          </cell>
          <cell r="C310">
            <v>6328</v>
          </cell>
          <cell r="D310">
            <v>569.52</v>
          </cell>
          <cell r="E310">
            <v>569.52</v>
          </cell>
          <cell r="F310"/>
          <cell r="G310">
            <v>7467.0400000000009</v>
          </cell>
        </row>
        <row r="311">
          <cell r="B311" t="str">
            <v>TOTAL OS 1129</v>
          </cell>
          <cell r="C311">
            <v>84831006.340000004</v>
          </cell>
          <cell r="D311">
            <v>5170465.9103999995</v>
          </cell>
          <cell r="E311">
            <v>5170465.9103999995</v>
          </cell>
          <cell r="F311" t="e">
            <v>#REF!</v>
          </cell>
          <cell r="G311">
            <v>95171938.16080001</v>
          </cell>
        </row>
        <row r="312">
          <cell r="B312"/>
          <cell r="C312"/>
          <cell r="D312"/>
          <cell r="E312"/>
          <cell r="F312"/>
        </row>
        <row r="313">
          <cell r="F313"/>
        </row>
        <row r="314">
          <cell r="B314" t="str">
            <v>PLANT 3138</v>
          </cell>
          <cell r="C314" t="str">
            <v>Basic Value</v>
          </cell>
          <cell r="D314" t="str">
            <v>CGST</v>
          </cell>
          <cell r="E314" t="str">
            <v>SGST</v>
          </cell>
          <cell r="F314"/>
          <cell r="G314" t="str">
            <v>Total</v>
          </cell>
        </row>
        <row r="315">
          <cell r="B315"/>
          <cell r="C315"/>
          <cell r="D315"/>
          <cell r="E315"/>
          <cell r="F315"/>
          <cell r="G315"/>
        </row>
        <row r="316">
          <cell r="B316" t="str">
            <v>SSIL/PAC20-5A June</v>
          </cell>
          <cell r="C316">
            <v>73203.53</v>
          </cell>
          <cell r="D316">
            <v>6588.3176999999996</v>
          </cell>
          <cell r="E316">
            <v>6588.3176999999996</v>
          </cell>
          <cell r="F316"/>
          <cell r="G316">
            <v>86380.165399999998</v>
          </cell>
        </row>
        <row r="317">
          <cell r="B317" t="str">
            <v>SSIL/PAC20-5B June</v>
          </cell>
          <cell r="C317">
            <v>538152.78</v>
          </cell>
          <cell r="D317">
            <v>48433.750200000002</v>
          </cell>
          <cell r="E317">
            <v>48433.750200000002</v>
          </cell>
          <cell r="F317"/>
          <cell r="G317">
            <v>635020.28040000005</v>
          </cell>
        </row>
        <row r="318">
          <cell r="B318" t="str">
            <v>SSIL/CON20-08 November</v>
          </cell>
          <cell r="C318">
            <v>45237193.020000003</v>
          </cell>
          <cell r="D318">
            <v>2714231.5811999999</v>
          </cell>
          <cell r="E318">
            <v>2714231.5811999999</v>
          </cell>
          <cell r="F318"/>
          <cell r="G318">
            <v>50665656.182400003</v>
          </cell>
        </row>
        <row r="319">
          <cell r="B319" t="str">
            <v>SSIL/PAC20-15 November</v>
          </cell>
          <cell r="C319">
            <v>752418.3</v>
          </cell>
          <cell r="D319">
            <v>67717.646999999997</v>
          </cell>
          <cell r="E319">
            <v>67717.646999999997</v>
          </cell>
          <cell r="F319"/>
          <cell r="G319">
            <v>887853.59400000004</v>
          </cell>
        </row>
        <row r="320">
          <cell r="B320" t="str">
            <v>SSIL/TC20-08 November</v>
          </cell>
          <cell r="C320">
            <v>1542493.8</v>
          </cell>
          <cell r="D320">
            <v>138824.44200000001</v>
          </cell>
          <cell r="E320">
            <v>138824.44200000001</v>
          </cell>
          <cell r="F320"/>
          <cell r="G320">
            <v>1820142.6840000001</v>
          </cell>
        </row>
        <row r="321">
          <cell r="B321" t="str">
            <v>SSIL/CUS20-04 November</v>
          </cell>
          <cell r="C321">
            <v>24534</v>
          </cell>
          <cell r="D321">
            <v>1472.04</v>
          </cell>
          <cell r="E321">
            <v>1472.04</v>
          </cell>
          <cell r="F321"/>
          <cell r="G321">
            <v>27478.080000000002</v>
          </cell>
        </row>
        <row r="322">
          <cell r="B322" t="str">
            <v>TOTAL OS 3138</v>
          </cell>
          <cell r="C322">
            <v>48167995.43</v>
          </cell>
          <cell r="D322">
            <v>2977267.7780999998</v>
          </cell>
          <cell r="E322">
            <v>2977267.7780999998</v>
          </cell>
          <cell r="F322" t="e">
            <v>#REF!</v>
          </cell>
          <cell r="G322">
            <v>54122530.986199997</v>
          </cell>
        </row>
        <row r="323">
          <cell r="B323"/>
          <cell r="C323"/>
          <cell r="D323"/>
          <cell r="E323"/>
          <cell r="F323"/>
        </row>
        <row r="324">
          <cell r="F324"/>
        </row>
        <row r="325">
          <cell r="B325" t="str">
            <v>PLANT 3411</v>
          </cell>
          <cell r="C325" t="str">
            <v>Basic Value</v>
          </cell>
          <cell r="D325" t="str">
            <v>CGST</v>
          </cell>
          <cell r="E325" t="str">
            <v>SGST</v>
          </cell>
          <cell r="F325"/>
          <cell r="G325" t="str">
            <v>Total</v>
          </cell>
        </row>
        <row r="326">
          <cell r="B326"/>
          <cell r="C326"/>
          <cell r="D326"/>
          <cell r="E326"/>
          <cell r="F326"/>
          <cell r="G326">
            <v>0</v>
          </cell>
        </row>
        <row r="327">
          <cell r="B327"/>
          <cell r="C327"/>
          <cell r="D327"/>
          <cell r="E327"/>
          <cell r="F327"/>
          <cell r="G327"/>
        </row>
        <row r="328">
          <cell r="B328">
            <v>43986</v>
          </cell>
          <cell r="C328">
            <v>7423.57</v>
          </cell>
          <cell r="D328">
            <v>668.12130000000002</v>
          </cell>
          <cell r="E328">
            <v>668.12130000000002</v>
          </cell>
          <cell r="F328"/>
          <cell r="G328">
            <v>8759.8125999999993</v>
          </cell>
        </row>
        <row r="329">
          <cell r="B329">
            <v>44002</v>
          </cell>
          <cell r="C329">
            <v>31273.45</v>
          </cell>
          <cell r="D329">
            <v>2814.6104999999998</v>
          </cell>
          <cell r="E329">
            <v>2814.6104999999998</v>
          </cell>
          <cell r="F329"/>
          <cell r="G329">
            <v>36902.671000000002</v>
          </cell>
        </row>
        <row r="330">
          <cell r="B330" t="str">
            <v>62 July</v>
          </cell>
          <cell r="C330">
            <v>26996.49</v>
          </cell>
          <cell r="D330">
            <v>2429.6840999999999</v>
          </cell>
          <cell r="E330">
            <v>2429.6840999999999</v>
          </cell>
          <cell r="F330"/>
          <cell r="G330">
            <v>31855.858199999999</v>
          </cell>
        </row>
        <row r="331">
          <cell r="B331" t="str">
            <v>78 August</v>
          </cell>
          <cell r="C331">
            <v>30302.18</v>
          </cell>
          <cell r="D331">
            <v>2727.1961999999999</v>
          </cell>
          <cell r="E331">
            <v>2727.1961999999999</v>
          </cell>
          <cell r="F331"/>
          <cell r="G331">
            <v>35756.572399999997</v>
          </cell>
        </row>
        <row r="332">
          <cell r="B332" t="str">
            <v>88 August</v>
          </cell>
          <cell r="C332">
            <v>25382</v>
          </cell>
          <cell r="D332">
            <v>2284.38</v>
          </cell>
          <cell r="E332">
            <v>2284.38</v>
          </cell>
          <cell r="F332"/>
          <cell r="G332">
            <v>29950.760000000002</v>
          </cell>
        </row>
        <row r="333">
          <cell r="B333" t="str">
            <v>103 September</v>
          </cell>
          <cell r="C333">
            <v>34096.71</v>
          </cell>
          <cell r="D333">
            <v>3068.7039</v>
          </cell>
          <cell r="E333">
            <v>3068.7039</v>
          </cell>
          <cell r="F333"/>
          <cell r="G333">
            <v>40234.1178</v>
          </cell>
        </row>
        <row r="334">
          <cell r="B334" t="str">
            <v>127 September</v>
          </cell>
          <cell r="C334">
            <v>1612.95</v>
          </cell>
          <cell r="D334">
            <v>145.16550000000001</v>
          </cell>
          <cell r="E334">
            <v>145.16550000000001</v>
          </cell>
          <cell r="F334"/>
          <cell r="G334">
            <v>1903.2810000000002</v>
          </cell>
        </row>
        <row r="335">
          <cell r="B335" t="str">
            <v>132 October</v>
          </cell>
          <cell r="C335">
            <v>94.2</v>
          </cell>
          <cell r="D335">
            <v>8.4779999999999998</v>
          </cell>
          <cell r="E335">
            <v>8.4779999999999998</v>
          </cell>
          <cell r="F335"/>
          <cell r="G335">
            <v>111.15599999999999</v>
          </cell>
        </row>
        <row r="336">
          <cell r="B336" t="str">
            <v>148 November</v>
          </cell>
          <cell r="C336">
            <v>32101.27</v>
          </cell>
          <cell r="D336">
            <v>2889.1143000000002</v>
          </cell>
          <cell r="E336">
            <v>2889.1143000000002</v>
          </cell>
          <cell r="F336"/>
          <cell r="G336">
            <v>37879.498599999999</v>
          </cell>
        </row>
        <row r="337">
          <cell r="B337" t="str">
            <v>44 July</v>
          </cell>
          <cell r="C337">
            <v>12840.85</v>
          </cell>
          <cell r="D337">
            <v>1155.6765</v>
          </cell>
          <cell r="E337">
            <v>1155.6765</v>
          </cell>
          <cell r="F337"/>
          <cell r="G337">
            <v>15152.203</v>
          </cell>
        </row>
        <row r="338">
          <cell r="B338" t="str">
            <v>166 Nov'20</v>
          </cell>
          <cell r="C338">
            <v>21829169.699999999</v>
          </cell>
          <cell r="D338">
            <v>1309750.182</v>
          </cell>
          <cell r="E338">
            <v>1309750.182</v>
          </cell>
          <cell r="F338"/>
          <cell r="G338">
            <v>24448670.063999999</v>
          </cell>
        </row>
        <row r="339">
          <cell r="B339" t="str">
            <v>TOTAL OS 3411</v>
          </cell>
          <cell r="C339">
            <v>22031293.370000001</v>
          </cell>
          <cell r="D339">
            <v>1327941.3123000001</v>
          </cell>
          <cell r="E339">
            <v>1327941.3123000001</v>
          </cell>
          <cell r="F339" t="e">
            <v>#REF!</v>
          </cell>
          <cell r="G339">
            <v>24687175.994599998</v>
          </cell>
        </row>
        <row r="340">
          <cell r="B340"/>
          <cell r="C340"/>
          <cell r="D340"/>
          <cell r="E340"/>
          <cell r="F340"/>
        </row>
        <row r="341">
          <cell r="B341"/>
          <cell r="C341"/>
        </row>
        <row r="342">
          <cell r="B342" t="str">
            <v>PLANT 1192</v>
          </cell>
          <cell r="C342" t="str">
            <v>Basic Value</v>
          </cell>
          <cell r="D342" t="str">
            <v>CGST</v>
          </cell>
          <cell r="E342" t="str">
            <v>SGST</v>
          </cell>
          <cell r="F342"/>
          <cell r="G342" t="str">
            <v>Total</v>
          </cell>
        </row>
        <row r="343">
          <cell r="B343"/>
          <cell r="C343"/>
          <cell r="D343"/>
          <cell r="E343"/>
          <cell r="F343"/>
          <cell r="G343"/>
        </row>
        <row r="344">
          <cell r="B344" t="str">
            <v>SRPL/T/05/20-21 July</v>
          </cell>
          <cell r="C344">
            <v>666873.65</v>
          </cell>
          <cell r="D344">
            <v>40012.419000000002</v>
          </cell>
          <cell r="E344">
            <v>40012.419000000002</v>
          </cell>
          <cell r="F344"/>
          <cell r="G344">
            <v>746898.48800000001</v>
          </cell>
        </row>
        <row r="345">
          <cell r="B345" t="str">
            <v>SRPL/T/08/20-21 August</v>
          </cell>
          <cell r="C345">
            <v>2918.93</v>
          </cell>
          <cell r="D345">
            <v>0</v>
          </cell>
          <cell r="E345">
            <v>0</v>
          </cell>
          <cell r="F345"/>
          <cell r="G345">
            <v>2918.93</v>
          </cell>
        </row>
        <row r="346">
          <cell r="B346" t="str">
            <v>SRPL/T12/20-21 November</v>
          </cell>
          <cell r="C346">
            <v>5642429.3899999997</v>
          </cell>
          <cell r="D346">
            <v>338545.7634</v>
          </cell>
          <cell r="E346">
            <v>338545.7634</v>
          </cell>
          <cell r="F346"/>
          <cell r="G346">
            <v>6319520.9167999988</v>
          </cell>
        </row>
        <row r="347">
          <cell r="B347" t="str">
            <v>TOTAL OS 1192</v>
          </cell>
          <cell r="C347">
            <v>6312221.9699999997</v>
          </cell>
          <cell r="D347">
            <v>378558.18239999999</v>
          </cell>
          <cell r="E347">
            <v>378558.18239999999</v>
          </cell>
          <cell r="F347" t="e">
            <v>#REF!</v>
          </cell>
          <cell r="G347">
            <v>7069338.3347999994</v>
          </cell>
        </row>
        <row r="348">
          <cell r="B348"/>
          <cell r="C348"/>
          <cell r="D348"/>
          <cell r="E348"/>
          <cell r="F348"/>
        </row>
        <row r="349">
          <cell r="B349"/>
          <cell r="C349"/>
          <cell r="D349"/>
          <cell r="E349"/>
          <cell r="F349"/>
        </row>
        <row r="350">
          <cell r="B350" t="str">
            <v>PLANT 1228</v>
          </cell>
          <cell r="C350" t="str">
            <v>Basic Value</v>
          </cell>
          <cell r="D350" t="str">
            <v>CGST</v>
          </cell>
          <cell r="E350" t="str">
            <v>SGST</v>
          </cell>
          <cell r="F350"/>
          <cell r="G350" t="str">
            <v>Total</v>
          </cell>
        </row>
        <row r="351">
          <cell r="B351" t="str">
            <v>Nov'20</v>
          </cell>
          <cell r="C351">
            <v>30580172</v>
          </cell>
          <cell r="D351"/>
          <cell r="E351"/>
          <cell r="F351"/>
          <cell r="G351"/>
        </row>
        <row r="352">
          <cell r="B352" t="str">
            <v>TOTAL OS 1228</v>
          </cell>
          <cell r="C352">
            <v>30580172</v>
          </cell>
          <cell r="D352">
            <v>0</v>
          </cell>
          <cell r="E352">
            <v>0</v>
          </cell>
          <cell r="F352" t="e">
            <v>#REF!</v>
          </cell>
          <cell r="G352">
            <v>0</v>
          </cell>
        </row>
        <row r="353">
          <cell r="B353"/>
          <cell r="C353"/>
          <cell r="D353"/>
          <cell r="E353"/>
          <cell r="F353"/>
        </row>
        <row r="354">
          <cell r="D354"/>
        </row>
        <row r="355">
          <cell r="B355" t="str">
            <v>PLANT 3448</v>
          </cell>
          <cell r="C355" t="str">
            <v>Basic Value</v>
          </cell>
          <cell r="D355" t="str">
            <v>CGST</v>
          </cell>
          <cell r="E355" t="str">
            <v>SGST</v>
          </cell>
          <cell r="F355"/>
          <cell r="G355" t="str">
            <v>Total</v>
          </cell>
        </row>
        <row r="356">
          <cell r="B356" t="str">
            <v>Oct'19</v>
          </cell>
          <cell r="C356">
            <v>262305.8</v>
          </cell>
          <cell r="D356">
            <v>23607.521999999997</v>
          </cell>
          <cell r="E356">
            <v>23607.521999999997</v>
          </cell>
          <cell r="F356"/>
          <cell r="G356">
            <v>309520.84399999998</v>
          </cell>
        </row>
        <row r="357">
          <cell r="B357" t="str">
            <v>Feb'20</v>
          </cell>
          <cell r="C357">
            <v>373316.56</v>
          </cell>
          <cell r="D357">
            <v>33598.490399999995</v>
          </cell>
          <cell r="E357">
            <v>33598.490399999995</v>
          </cell>
          <cell r="F357"/>
          <cell r="G357">
            <v>440513.54080000002</v>
          </cell>
        </row>
        <row r="358">
          <cell r="B358" t="str">
            <v>TOTAL OS 3448</v>
          </cell>
          <cell r="C358">
            <v>635622.36</v>
          </cell>
          <cell r="D358">
            <v>57206.012399999992</v>
          </cell>
          <cell r="E358">
            <v>57206.012399999992</v>
          </cell>
          <cell r="F358" t="e">
            <v>#REF!</v>
          </cell>
          <cell r="G358">
            <v>750034.3848</v>
          </cell>
        </row>
        <row r="359">
          <cell r="B359"/>
          <cell r="C359"/>
          <cell r="D359"/>
          <cell r="E359"/>
          <cell r="F359"/>
        </row>
        <row r="361">
          <cell r="B361" t="str">
            <v>PLANT 1253</v>
          </cell>
          <cell r="C361" t="str">
            <v>Basic Value</v>
          </cell>
          <cell r="D361" t="str">
            <v>CGST</v>
          </cell>
          <cell r="E361" t="str">
            <v>SGST</v>
          </cell>
          <cell r="F361"/>
          <cell r="G361" t="str">
            <v>Total</v>
          </cell>
        </row>
        <row r="362">
          <cell r="B362"/>
          <cell r="C362"/>
          <cell r="D362"/>
          <cell r="E362"/>
          <cell r="F362"/>
          <cell r="G362"/>
        </row>
        <row r="363">
          <cell r="B363" t="str">
            <v>B/CON/0016/20-21 October</v>
          </cell>
          <cell r="C363">
            <v>15265169.01</v>
          </cell>
          <cell r="D363">
            <v>915910.14060000004</v>
          </cell>
          <cell r="E363">
            <v>915910.14060000004</v>
          </cell>
          <cell r="F363"/>
          <cell r="G363">
            <v>17096989.291200001</v>
          </cell>
        </row>
        <row r="364">
          <cell r="B364" t="str">
            <v>B/CON/0017/20-21 October</v>
          </cell>
          <cell r="C364">
            <v>219027.6</v>
          </cell>
          <cell r="D364">
            <v>13141.656000000001</v>
          </cell>
          <cell r="E364">
            <v>13141.656000000001</v>
          </cell>
          <cell r="F364"/>
          <cell r="G364">
            <v>245310.91199999998</v>
          </cell>
        </row>
        <row r="365">
          <cell r="B365" t="str">
            <v>B/CON/0018/20-21 October</v>
          </cell>
          <cell r="C365">
            <v>3915.6</v>
          </cell>
          <cell r="D365">
            <v>234.93600000000001</v>
          </cell>
          <cell r="E365">
            <v>234.93600000000001</v>
          </cell>
          <cell r="F365"/>
          <cell r="G365">
            <v>4385.4719999999998</v>
          </cell>
        </row>
        <row r="366">
          <cell r="B366" t="str">
            <v>B/CON/0019/20-21 November</v>
          </cell>
          <cell r="C366">
            <v>16720516.800000001</v>
          </cell>
          <cell r="D366">
            <v>1003231.008</v>
          </cell>
          <cell r="E366">
            <v>1003231.008</v>
          </cell>
          <cell r="F366"/>
          <cell r="G366">
            <v>18726978.816000003</v>
          </cell>
        </row>
        <row r="367">
          <cell r="B367" t="str">
            <v>B/CON/0020/20-21 November</v>
          </cell>
          <cell r="C367">
            <v>244696.4</v>
          </cell>
          <cell r="D367">
            <v>14681.784</v>
          </cell>
          <cell r="E367">
            <v>14681.784</v>
          </cell>
          <cell r="F367"/>
          <cell r="G367">
            <v>274059.96799999999</v>
          </cell>
        </row>
        <row r="368">
          <cell r="B368" t="str">
            <v>B/CON/0021/20-21 November</v>
          </cell>
          <cell r="C368">
            <v>9761.6</v>
          </cell>
          <cell r="D368">
            <v>585.69600000000003</v>
          </cell>
          <cell r="E368">
            <v>585.69600000000003</v>
          </cell>
          <cell r="F368"/>
          <cell r="G368">
            <v>10932.992</v>
          </cell>
        </row>
        <row r="369">
          <cell r="B369" t="str">
            <v>TOTAL OS 1253</v>
          </cell>
          <cell r="C369">
            <v>32463087.009999998</v>
          </cell>
          <cell r="D369">
            <v>1947785.2206000001</v>
          </cell>
          <cell r="E369">
            <v>1947785.2206000001</v>
          </cell>
          <cell r="F369" t="e">
            <v>#REF!</v>
          </cell>
          <cell r="G369">
            <v>36358657.451200001</v>
          </cell>
        </row>
        <row r="370">
          <cell r="B370"/>
          <cell r="C370"/>
          <cell r="D370"/>
          <cell r="E370"/>
          <cell r="F370"/>
        </row>
        <row r="372">
          <cell r="B372" t="str">
            <v>PLANT 2025</v>
          </cell>
          <cell r="C372" t="str">
            <v>Basic Value</v>
          </cell>
          <cell r="D372" t="str">
            <v>CGST</v>
          </cell>
          <cell r="E372" t="str">
            <v>SGST</v>
          </cell>
          <cell r="F372"/>
          <cell r="G372" t="str">
            <v>Total</v>
          </cell>
        </row>
        <row r="373">
          <cell r="B373"/>
          <cell r="C373"/>
          <cell r="D373"/>
          <cell r="E373"/>
          <cell r="F373"/>
          <cell r="G373"/>
        </row>
        <row r="374">
          <cell r="B374" t="str">
            <v>RCS000437 October</v>
          </cell>
          <cell r="C374">
            <v>1433862.875</v>
          </cell>
          <cell r="D374">
            <v>98410.084499999997</v>
          </cell>
          <cell r="E374">
            <v>98410.084499999997</v>
          </cell>
          <cell r="F374"/>
          <cell r="G374">
            <v>1630683.0439999998</v>
          </cell>
        </row>
        <row r="375">
          <cell r="B375" t="str">
            <v>RCS000533 November</v>
          </cell>
          <cell r="C375">
            <v>1451014.0250000001</v>
          </cell>
          <cell r="D375">
            <v>95938.573499999999</v>
          </cell>
          <cell r="E375">
            <v>95938.573499999999</v>
          </cell>
          <cell r="F375"/>
          <cell r="G375">
            <v>1642891.172</v>
          </cell>
        </row>
        <row r="376">
          <cell r="B376" t="str">
            <v>TOTAL OS 2025</v>
          </cell>
          <cell r="C376">
            <v>2884876.9000000004</v>
          </cell>
          <cell r="D376">
            <v>194348.658</v>
          </cell>
          <cell r="E376">
            <v>194348.658</v>
          </cell>
          <cell r="F376" t="e">
            <v>#REF!</v>
          </cell>
          <cell r="G376">
            <v>3273574.216</v>
          </cell>
        </row>
        <row r="377">
          <cell r="B377"/>
          <cell r="C377"/>
          <cell r="D377"/>
          <cell r="E377"/>
          <cell r="F377"/>
        </row>
        <row r="378">
          <cell r="E378"/>
        </row>
        <row r="379">
          <cell r="B379" t="str">
            <v>PLANT 1116</v>
          </cell>
          <cell r="C379" t="str">
            <v>Basic Value</v>
          </cell>
          <cell r="D379" t="str">
            <v>CGST</v>
          </cell>
          <cell r="E379" t="str">
            <v>SGST</v>
          </cell>
          <cell r="F379"/>
          <cell r="G379" t="str">
            <v>Total</v>
          </cell>
        </row>
        <row r="380">
          <cell r="B380" t="str">
            <v>Scrap Cutting Charges Apr18</v>
          </cell>
          <cell r="C380">
            <v>28294.796610169495</v>
          </cell>
          <cell r="D380">
            <v>2546.5316949152543</v>
          </cell>
          <cell r="E380">
            <v>2546.5316949152543</v>
          </cell>
          <cell r="F380"/>
          <cell r="G380">
            <v>33387.86</v>
          </cell>
        </row>
        <row r="381">
          <cell r="B381" t="str">
            <v xml:space="preserve">Scrap Cutting Charges </v>
          </cell>
          <cell r="C381">
            <v>8929.9910714285725</v>
          </cell>
          <cell r="D381">
            <v>535.79946428571429</v>
          </cell>
          <cell r="E381">
            <v>535.79946428571429</v>
          </cell>
          <cell r="F381"/>
          <cell r="G381">
            <v>10001.59</v>
          </cell>
        </row>
        <row r="382">
          <cell r="B382" t="str">
            <v>1001564 October</v>
          </cell>
          <cell r="C382">
            <v>51678460</v>
          </cell>
          <cell r="D382">
            <v>3100707.6</v>
          </cell>
          <cell r="E382">
            <v>3100707.6</v>
          </cell>
          <cell r="F382"/>
          <cell r="G382">
            <v>57879875.200000003</v>
          </cell>
        </row>
        <row r="383">
          <cell r="B383" t="str">
            <v>1001568 Nov'20 1st Part</v>
          </cell>
          <cell r="C383">
            <v>39625855.109999999</v>
          </cell>
          <cell r="D383">
            <v>2377551.3065999998</v>
          </cell>
          <cell r="E383">
            <v>2377551.3065999998</v>
          </cell>
          <cell r="F383"/>
          <cell r="G383">
            <v>44380957.723199993</v>
          </cell>
        </row>
        <row r="384">
          <cell r="B384" t="str">
            <v>1001571 November</v>
          </cell>
          <cell r="C384">
            <v>59366663.420000002</v>
          </cell>
          <cell r="D384">
            <v>3561999.8051999998</v>
          </cell>
          <cell r="E384">
            <v>3561999.8051999998</v>
          </cell>
          <cell r="F384"/>
          <cell r="G384">
            <v>66490663.030400008</v>
          </cell>
        </row>
        <row r="385">
          <cell r="B385" t="str">
            <v>TOTAL OS 1116</v>
          </cell>
          <cell r="C385">
            <v>150708203.31768161</v>
          </cell>
          <cell r="D385">
            <v>9043341.0429592002</v>
          </cell>
          <cell r="E385">
            <v>9043341.0429592002</v>
          </cell>
          <cell r="F385"/>
          <cell r="G385">
            <v>168794885.40360001</v>
          </cell>
        </row>
        <row r="386">
          <cell r="B386"/>
          <cell r="C386"/>
          <cell r="D386"/>
          <cell r="E386"/>
          <cell r="F386"/>
        </row>
        <row r="387">
          <cell r="B387"/>
          <cell r="C387"/>
          <cell r="D387"/>
          <cell r="E387"/>
          <cell r="F387"/>
        </row>
        <row r="388">
          <cell r="B388" t="str">
            <v>PLANT 1184</v>
          </cell>
          <cell r="C388" t="str">
            <v>Basic Value</v>
          </cell>
          <cell r="D388" t="str">
            <v>CGST</v>
          </cell>
          <cell r="E388" t="str">
            <v>SGST</v>
          </cell>
          <cell r="F388"/>
          <cell r="G388" t="str">
            <v>Total</v>
          </cell>
        </row>
        <row r="389">
          <cell r="B389" t="str">
            <v>Scrap Dec'19</v>
          </cell>
          <cell r="C389">
            <v>11242.300000000001</v>
          </cell>
          <cell r="D389">
            <v>674.53800000000001</v>
          </cell>
          <cell r="E389">
            <v>674.53800000000001</v>
          </cell>
          <cell r="F389"/>
          <cell r="G389">
            <v>12591.376000000002</v>
          </cell>
        </row>
        <row r="390">
          <cell r="B390" t="str">
            <v>Mar'20 Part 1</v>
          </cell>
          <cell r="C390">
            <v>39103.380000000056</v>
          </cell>
          <cell r="D390">
            <v>2346.2028000000032</v>
          </cell>
          <cell r="E390">
            <v>2346.2028000000032</v>
          </cell>
          <cell r="F390"/>
          <cell r="G390">
            <v>43795.785600000068</v>
          </cell>
        </row>
        <row r="391">
          <cell r="B391" t="str">
            <v>1001565 October</v>
          </cell>
          <cell r="C391">
            <v>55669.81</v>
          </cell>
          <cell r="D391">
            <v>3340.1886</v>
          </cell>
          <cell r="E391">
            <v>3340.1886</v>
          </cell>
          <cell r="F391"/>
          <cell r="G391">
            <v>62350.1872</v>
          </cell>
        </row>
        <row r="392">
          <cell r="B392" t="str">
            <v>1001571 November</v>
          </cell>
          <cell r="C392">
            <v>142212.07</v>
          </cell>
          <cell r="D392">
            <v>8532.7242000000006</v>
          </cell>
          <cell r="E392">
            <v>8532.7242000000006</v>
          </cell>
          <cell r="F392"/>
          <cell r="G392">
            <v>159277.5184</v>
          </cell>
        </row>
        <row r="393">
          <cell r="B393" t="str">
            <v>TOTAL OS 1184</v>
          </cell>
          <cell r="C393">
            <v>248227.56000000006</v>
          </cell>
          <cell r="D393">
            <v>14893.653600000003</v>
          </cell>
          <cell r="E393">
            <v>14893.653600000003</v>
          </cell>
          <cell r="F393" t="e">
            <v>#REF!</v>
          </cell>
          <cell r="G393">
            <v>278014.8672000001</v>
          </cell>
        </row>
        <row r="394">
          <cell r="B394"/>
          <cell r="C394"/>
          <cell r="D394"/>
          <cell r="E394"/>
          <cell r="F394"/>
        </row>
        <row r="395">
          <cell r="D395"/>
        </row>
        <row r="396">
          <cell r="B396" t="str">
            <v>PLANT 1258</v>
          </cell>
          <cell r="C396" t="str">
            <v>Basic Value</v>
          </cell>
          <cell r="D396" t="str">
            <v>CGST</v>
          </cell>
          <cell r="E396" t="str">
            <v>SGST</v>
          </cell>
          <cell r="F396"/>
          <cell r="G396" t="str">
            <v>Total</v>
          </cell>
        </row>
        <row r="397">
          <cell r="B397" t="str">
            <v>BMW2/HR/T/06</v>
          </cell>
          <cell r="C397">
            <v>15414.85</v>
          </cell>
          <cell r="D397">
            <v>924.89099999999996</v>
          </cell>
          <cell r="E397">
            <v>924.89099999999996</v>
          </cell>
          <cell r="F397"/>
          <cell r="G397">
            <v>17264.632000000001</v>
          </cell>
        </row>
        <row r="398">
          <cell r="B398" t="str">
            <v>BMW2/HR/T/08</v>
          </cell>
          <cell r="C398">
            <v>16494.04</v>
          </cell>
          <cell r="D398">
            <v>989.64240000000007</v>
          </cell>
          <cell r="E398">
            <v>989.64240000000007</v>
          </cell>
          <cell r="F398"/>
          <cell r="G398">
            <v>18473.324800000002</v>
          </cell>
        </row>
        <row r="399">
          <cell r="B399" t="str">
            <v>BMW2/HR/T/12</v>
          </cell>
          <cell r="C399">
            <v>27075.5</v>
          </cell>
          <cell r="D399">
            <v>1624.53</v>
          </cell>
          <cell r="E399">
            <v>1624.53</v>
          </cell>
          <cell r="F399"/>
          <cell r="G399">
            <v>30324.559999999998</v>
          </cell>
        </row>
        <row r="400">
          <cell r="B400" t="str">
            <v>BMW2/HR/C/01 July</v>
          </cell>
          <cell r="C400">
            <v>9464.0550000000003</v>
          </cell>
          <cell r="D400">
            <v>567.8433</v>
          </cell>
          <cell r="E400">
            <v>567.8433</v>
          </cell>
          <cell r="F400"/>
          <cell r="G400">
            <v>10599.741600000001</v>
          </cell>
        </row>
        <row r="401">
          <cell r="B401" t="str">
            <v>BMW2/HR/C/02 July</v>
          </cell>
          <cell r="C401">
            <v>15843.12</v>
          </cell>
          <cell r="D401">
            <v>950.58720000000005</v>
          </cell>
          <cell r="E401">
            <v>950.58720000000005</v>
          </cell>
          <cell r="F401"/>
          <cell r="G401">
            <v>17744.294400000002</v>
          </cell>
        </row>
        <row r="402">
          <cell r="B402" t="str">
            <v>BMW2/HR/C/01 July</v>
          </cell>
          <cell r="C402">
            <v>25307</v>
          </cell>
          <cell r="D402">
            <v>1518.42</v>
          </cell>
          <cell r="E402">
            <v>1518.42</v>
          </cell>
          <cell r="F402"/>
          <cell r="G402">
            <v>28343.839999999997</v>
          </cell>
        </row>
        <row r="403">
          <cell r="B403" t="str">
            <v>TOTAL OS 1258</v>
          </cell>
          <cell r="C403">
            <v>109598.565</v>
          </cell>
          <cell r="D403">
            <v>6575.9138999999996</v>
          </cell>
          <cell r="E403">
            <v>6575.9138999999996</v>
          </cell>
          <cell r="F403" t="e">
            <v>#REF!</v>
          </cell>
          <cell r="G403">
            <v>122750.39279999999</v>
          </cell>
        </row>
        <row r="404">
          <cell r="B404"/>
          <cell r="C404"/>
          <cell r="D404"/>
          <cell r="E404"/>
          <cell r="F404"/>
        </row>
        <row r="406">
          <cell r="B406" t="str">
            <v>PLANT 1295</v>
          </cell>
          <cell r="C406" t="str">
            <v>Basic Value</v>
          </cell>
          <cell r="D406" t="str">
            <v>CGST</v>
          </cell>
          <cell r="E406" t="str">
            <v>SGST</v>
          </cell>
          <cell r="F406"/>
          <cell r="G406" t="str">
            <v>Total</v>
          </cell>
        </row>
        <row r="407">
          <cell r="B407"/>
          <cell r="C407"/>
          <cell r="D407"/>
          <cell r="E407"/>
          <cell r="F407"/>
          <cell r="G407"/>
        </row>
        <row r="408">
          <cell r="B408" t="str">
            <v>STPL/T/017/20-21 August</v>
          </cell>
          <cell r="C408">
            <v>3841797.39</v>
          </cell>
          <cell r="D408">
            <v>230507.84340000001</v>
          </cell>
          <cell r="E408">
            <v>230507.84340000001</v>
          </cell>
          <cell r="F408"/>
          <cell r="G408">
            <v>4302813.0767999999</v>
          </cell>
        </row>
        <row r="409">
          <cell r="B409" t="str">
            <v>STPL/T/018/20-21 August</v>
          </cell>
          <cell r="C409">
            <v>12806.4</v>
          </cell>
          <cell r="D409">
            <v>768.38400000000001</v>
          </cell>
          <cell r="E409">
            <v>768.38400000000001</v>
          </cell>
          <cell r="F409"/>
          <cell r="G409">
            <v>14343.168</v>
          </cell>
        </row>
        <row r="410">
          <cell r="B410" t="str">
            <v>STPL/T/019/20-21 August</v>
          </cell>
          <cell r="C410">
            <v>6979.5</v>
          </cell>
          <cell r="D410">
            <v>418.77</v>
          </cell>
          <cell r="E410">
            <v>418.77</v>
          </cell>
          <cell r="F410"/>
          <cell r="G410">
            <v>7817.0400000000009</v>
          </cell>
        </row>
        <row r="411">
          <cell r="B411" t="str">
            <v>STPL/T/036/20-21 November</v>
          </cell>
          <cell r="C411">
            <v>6541960.7300000004</v>
          </cell>
          <cell r="D411">
            <v>392517.64380000002</v>
          </cell>
          <cell r="E411">
            <v>392517.64380000002</v>
          </cell>
          <cell r="F411"/>
          <cell r="G411">
            <v>7326996.0175999999</v>
          </cell>
        </row>
        <row r="412">
          <cell r="B412" t="str">
            <v>STPL/T/037/20-21 November</v>
          </cell>
          <cell r="C412">
            <v>24921.599999999999</v>
          </cell>
          <cell r="D412">
            <v>1495.296</v>
          </cell>
          <cell r="E412">
            <v>1495.296</v>
          </cell>
          <cell r="F412"/>
          <cell r="G412">
            <v>27912.191999999995</v>
          </cell>
        </row>
        <row r="413">
          <cell r="B413" t="str">
            <v>TOTAL OS 1295</v>
          </cell>
          <cell r="C413">
            <v>10428465.619999999</v>
          </cell>
          <cell r="D413">
            <v>625707.93719999993</v>
          </cell>
          <cell r="E413">
            <v>625707.93719999993</v>
          </cell>
          <cell r="F413" t="e">
            <v>#REF!</v>
          </cell>
          <cell r="G413">
            <v>11679881.4944</v>
          </cell>
        </row>
        <row r="414">
          <cell r="B414"/>
          <cell r="C414"/>
          <cell r="D414"/>
          <cell r="E414"/>
          <cell r="F414"/>
        </row>
        <row r="416">
          <cell r="B416" t="str">
            <v>PLANT 2242</v>
          </cell>
          <cell r="C416" t="str">
            <v>Basic Value</v>
          </cell>
          <cell r="D416" t="str">
            <v>CGST</v>
          </cell>
          <cell r="E416" t="str">
            <v>SGST</v>
          </cell>
          <cell r="F416"/>
          <cell r="G416" t="str">
            <v>Total</v>
          </cell>
        </row>
        <row r="417">
          <cell r="B417"/>
          <cell r="C417"/>
          <cell r="D417">
            <v>0</v>
          </cell>
          <cell r="E417">
            <v>0</v>
          </cell>
          <cell r="F417"/>
          <cell r="G417"/>
        </row>
        <row r="418">
          <cell r="B418"/>
          <cell r="C418"/>
          <cell r="D418"/>
          <cell r="E418"/>
          <cell r="F418"/>
          <cell r="G418">
            <v>0</v>
          </cell>
        </row>
        <row r="419">
          <cell r="B419" t="str">
            <v>AHPL-III/0658 September</v>
          </cell>
          <cell r="C419">
            <v>690935.28</v>
          </cell>
          <cell r="D419">
            <v>41456.116800000003</v>
          </cell>
          <cell r="E419">
            <v>41456.116800000003</v>
          </cell>
          <cell r="F419"/>
          <cell r="G419">
            <v>773847.51359999995</v>
          </cell>
        </row>
        <row r="420">
          <cell r="B420" t="str">
            <v>AHPL-III/0644 August</v>
          </cell>
          <cell r="C420">
            <v>7305154.6699999999</v>
          </cell>
          <cell r="D420">
            <v>438309.28019999998</v>
          </cell>
          <cell r="E420">
            <v>438309.28019999998</v>
          </cell>
          <cell r="F420"/>
          <cell r="G420">
            <v>8181773.2303999998</v>
          </cell>
        </row>
        <row r="421">
          <cell r="B421" t="str">
            <v>AHPL-III/0676 October</v>
          </cell>
          <cell r="C421">
            <v>10581234.529999999</v>
          </cell>
          <cell r="D421">
            <v>634874.07179999992</v>
          </cell>
          <cell r="E421">
            <v>634874.07180000003</v>
          </cell>
          <cell r="F421"/>
          <cell r="G421">
            <v>11850982.673599999</v>
          </cell>
        </row>
        <row r="422">
          <cell r="B422" t="str">
            <v>AHPL-III/0687 November</v>
          </cell>
          <cell r="C422">
            <v>9045113.3499999996</v>
          </cell>
          <cell r="D422">
            <v>542706.80099999998</v>
          </cell>
          <cell r="E422">
            <v>542706.80099999998</v>
          </cell>
          <cell r="F422"/>
          <cell r="G422">
            <v>10130526.952</v>
          </cell>
        </row>
        <row r="423">
          <cell r="B423" t="str">
            <v>AHPL-III/0688 November</v>
          </cell>
          <cell r="C423">
            <v>1605975</v>
          </cell>
          <cell r="D423">
            <v>96358.5</v>
          </cell>
          <cell r="E423">
            <v>96358.5</v>
          </cell>
          <cell r="F423"/>
          <cell r="G423">
            <v>1798692</v>
          </cell>
        </row>
        <row r="424">
          <cell r="B424" t="str">
            <v>TOTAL OS 2242</v>
          </cell>
          <cell r="C424">
            <v>29228412.829999998</v>
          </cell>
          <cell r="D424">
            <v>1753704.7697999999</v>
          </cell>
          <cell r="E424">
            <v>1753704.7697999999</v>
          </cell>
          <cell r="F424" t="e">
            <v>#REF!</v>
          </cell>
          <cell r="G424">
            <v>32735822.369599998</v>
          </cell>
        </row>
        <row r="425">
          <cell r="B425"/>
          <cell r="C425"/>
          <cell r="D425"/>
          <cell r="E425"/>
          <cell r="F425"/>
        </row>
        <row r="427">
          <cell r="B427" t="str">
            <v>PLANT 2248</v>
          </cell>
          <cell r="C427" t="str">
            <v>Basic Value</v>
          </cell>
          <cell r="D427" t="str">
            <v>CGST</v>
          </cell>
          <cell r="E427" t="str">
            <v>SGST</v>
          </cell>
          <cell r="F427"/>
          <cell r="G427" t="str">
            <v>Total</v>
          </cell>
        </row>
        <row r="428">
          <cell r="B428" t="str">
            <v>AHPL-V/144 August</v>
          </cell>
          <cell r="C428">
            <v>7147970.5099999998</v>
          </cell>
          <cell r="D428">
            <v>428878.23060000001</v>
          </cell>
          <cell r="E428">
            <v>428878.23060000001</v>
          </cell>
          <cell r="F428"/>
          <cell r="G428">
            <v>8005726.9712000005</v>
          </cell>
        </row>
        <row r="429">
          <cell r="B429" t="str">
            <v>AHPL-V/149 September</v>
          </cell>
          <cell r="C429">
            <v>381576.7</v>
          </cell>
          <cell r="D429">
            <v>22894.601999999999</v>
          </cell>
          <cell r="E429">
            <v>22894.601999999999</v>
          </cell>
          <cell r="F429"/>
          <cell r="G429">
            <v>427365.90400000004</v>
          </cell>
        </row>
        <row r="430">
          <cell r="B430" t="str">
            <v>AHPL-V/153 March-Aug</v>
          </cell>
          <cell r="C430">
            <v>53151.09</v>
          </cell>
          <cell r="D430">
            <v>3189.0654</v>
          </cell>
          <cell r="E430">
            <v>3189.0654</v>
          </cell>
          <cell r="F430"/>
          <cell r="G430">
            <v>59529.220799999996</v>
          </cell>
        </row>
        <row r="431">
          <cell r="B431" t="str">
            <v>AHPL-V/158 November</v>
          </cell>
          <cell r="C431">
            <v>7281013.6399999997</v>
          </cell>
          <cell r="D431">
            <v>513978.08519999997</v>
          </cell>
          <cell r="E431">
            <v>513978.08519999997</v>
          </cell>
          <cell r="F431"/>
          <cell r="G431">
            <v>8308969.8103999989</v>
          </cell>
        </row>
        <row r="432">
          <cell r="B432" t="str">
            <v>TOTAL OS 2248</v>
          </cell>
          <cell r="C432">
            <v>14863711.939999999</v>
          </cell>
          <cell r="D432">
            <v>968939.98320000002</v>
          </cell>
          <cell r="E432">
            <v>968939.98320000002</v>
          </cell>
          <cell r="F432" t="e">
            <v>#REF!</v>
          </cell>
          <cell r="G432">
            <v>16801591.906399999</v>
          </cell>
        </row>
        <row r="433">
          <cell r="B433"/>
          <cell r="C433"/>
          <cell r="D433"/>
          <cell r="E433"/>
          <cell r="F433"/>
          <cell r="G433"/>
        </row>
        <row r="435">
          <cell r="B435" t="str">
            <v>PLANT 2026</v>
          </cell>
          <cell r="C435" t="str">
            <v>Basic Value</v>
          </cell>
          <cell r="D435" t="str">
            <v>CGST</v>
          </cell>
          <cell r="E435" t="str">
            <v>SGST</v>
          </cell>
          <cell r="F435"/>
          <cell r="G435" t="str">
            <v>Total</v>
          </cell>
        </row>
        <row r="436">
          <cell r="B436"/>
          <cell r="C436"/>
          <cell r="D436">
            <v>0</v>
          </cell>
          <cell r="E436">
            <v>0</v>
          </cell>
          <cell r="F436"/>
          <cell r="G436"/>
        </row>
        <row r="437">
          <cell r="B437" t="str">
            <v>TOTAL OS 2026</v>
          </cell>
          <cell r="C437">
            <v>0</v>
          </cell>
          <cell r="D437">
            <v>0</v>
          </cell>
          <cell r="E437">
            <v>0</v>
          </cell>
          <cell r="F437" t="e">
            <v>#REF!</v>
          </cell>
          <cell r="G437">
            <v>0</v>
          </cell>
        </row>
        <row r="438">
          <cell r="B438"/>
          <cell r="C438"/>
          <cell r="D438"/>
          <cell r="E438"/>
          <cell r="F438"/>
        </row>
        <row r="440">
          <cell r="B440" t="str">
            <v>PLANT 1169</v>
          </cell>
          <cell r="C440" t="str">
            <v>Basic Value</v>
          </cell>
          <cell r="D440" t="str">
            <v>CGST</v>
          </cell>
          <cell r="E440" t="str">
            <v>SGST</v>
          </cell>
          <cell r="F440"/>
          <cell r="G440" t="str">
            <v>Total</v>
          </cell>
        </row>
        <row r="441">
          <cell r="B441"/>
          <cell r="C441"/>
          <cell r="D441"/>
          <cell r="E441"/>
          <cell r="F441"/>
          <cell r="G441"/>
        </row>
        <row r="442">
          <cell r="B442" t="str">
            <v>Nov'20 Prov November</v>
          </cell>
          <cell r="C442">
            <v>9955964.9979999997</v>
          </cell>
          <cell r="D442">
            <v>792651.92195999995</v>
          </cell>
          <cell r="E442">
            <v>792651.92195999995</v>
          </cell>
          <cell r="F442"/>
          <cell r="G442">
            <v>11541268.84192</v>
          </cell>
        </row>
        <row r="443">
          <cell r="B443" t="str">
            <v>TOTAL OS 1169</v>
          </cell>
          <cell r="C443">
            <v>9955964.9979999997</v>
          </cell>
          <cell r="D443">
            <v>792651.92195999995</v>
          </cell>
          <cell r="E443">
            <v>792651.92195999995</v>
          </cell>
          <cell r="F443" t="e">
            <v>#REF!</v>
          </cell>
          <cell r="G443">
            <v>11541268.84192</v>
          </cell>
        </row>
        <row r="444">
          <cell r="B444"/>
          <cell r="C444"/>
          <cell r="D444"/>
          <cell r="E444"/>
          <cell r="F444"/>
        </row>
        <row r="445">
          <cell r="B445"/>
          <cell r="C445"/>
          <cell r="D445"/>
          <cell r="E445"/>
          <cell r="F445"/>
        </row>
        <row r="446">
          <cell r="B446" t="str">
            <v>PLANT 1174</v>
          </cell>
          <cell r="C446" t="str">
            <v>Basic Value</v>
          </cell>
          <cell r="D446" t="str">
            <v>CGST</v>
          </cell>
          <cell r="E446" t="str">
            <v>SGST</v>
          </cell>
          <cell r="F446"/>
          <cell r="G446" t="str">
            <v>Total</v>
          </cell>
        </row>
        <row r="447">
          <cell r="B447"/>
          <cell r="C447"/>
          <cell r="D447">
            <v>0</v>
          </cell>
          <cell r="E447">
            <v>0</v>
          </cell>
          <cell r="F447"/>
          <cell r="G447">
            <v>0</v>
          </cell>
        </row>
        <row r="448">
          <cell r="B448" t="str">
            <v>Nov'20 Prov November</v>
          </cell>
          <cell r="C448">
            <v>897256.61</v>
          </cell>
          <cell r="D448">
            <v>53835.3966</v>
          </cell>
          <cell r="E448">
            <v>53835.3966</v>
          </cell>
          <cell r="F448"/>
          <cell r="G448">
            <v>1004927.4031999999</v>
          </cell>
        </row>
        <row r="449">
          <cell r="B449" t="str">
            <v>TOTAL OS 1174</v>
          </cell>
          <cell r="C449">
            <v>897256.61</v>
          </cell>
          <cell r="D449">
            <v>53835.3966</v>
          </cell>
          <cell r="E449">
            <v>53835.3966</v>
          </cell>
          <cell r="F449" t="e">
            <v>#REF!</v>
          </cell>
          <cell r="G449">
            <v>1004927.4031999999</v>
          </cell>
        </row>
        <row r="450">
          <cell r="B450"/>
          <cell r="C450"/>
          <cell r="D450"/>
          <cell r="E450"/>
          <cell r="F450"/>
        </row>
        <row r="452">
          <cell r="B452" t="str">
            <v>PLANT 3148</v>
          </cell>
          <cell r="C452" t="str">
            <v>Basic Value</v>
          </cell>
          <cell r="D452" t="str">
            <v>CGST</v>
          </cell>
          <cell r="E452" t="str">
            <v>SGST</v>
          </cell>
          <cell r="F452"/>
          <cell r="G452" t="str">
            <v>Total</v>
          </cell>
        </row>
        <row r="453">
          <cell r="B453"/>
          <cell r="C453"/>
          <cell r="D453"/>
          <cell r="E453"/>
          <cell r="F453"/>
          <cell r="G453"/>
        </row>
        <row r="454">
          <cell r="B454" t="str">
            <v>1200040/19-20 August</v>
          </cell>
          <cell r="C454">
            <v>25911</v>
          </cell>
          <cell r="D454">
            <v>2331.9899999999998</v>
          </cell>
          <cell r="E454">
            <v>2331.9899999999998</v>
          </cell>
          <cell r="F454"/>
          <cell r="G454">
            <v>30574.979999999996</v>
          </cell>
        </row>
        <row r="455">
          <cell r="B455" t="str">
            <v>1200063/2021 October'20</v>
          </cell>
          <cell r="C455">
            <v>656463.53499999992</v>
          </cell>
          <cell r="D455">
            <v>80424.5478</v>
          </cell>
          <cell r="E455">
            <v>80424.5478</v>
          </cell>
          <cell r="F455"/>
          <cell r="G455">
            <v>817312.63060000003</v>
          </cell>
        </row>
        <row r="456">
          <cell r="B456" t="str">
            <v>1200064/2021 October'20</v>
          </cell>
          <cell r="C456">
            <v>786051.58299999998</v>
          </cell>
          <cell r="D456">
            <v>70744.642470000006</v>
          </cell>
          <cell r="E456">
            <v>70744.642470000006</v>
          </cell>
          <cell r="F456"/>
          <cell r="G456">
            <v>927540.86793999991</v>
          </cell>
        </row>
        <row r="457">
          <cell r="B457" t="str">
            <v>1200081/2021</v>
          </cell>
          <cell r="C457">
            <v>729285.2</v>
          </cell>
          <cell r="D457">
            <v>43757.111999999994</v>
          </cell>
          <cell r="E457">
            <v>43757.111999999994</v>
          </cell>
          <cell r="F457"/>
          <cell r="G457">
            <v>816799.42399999988</v>
          </cell>
        </row>
        <row r="458">
          <cell r="B458" t="str">
            <v>1200082/2021</v>
          </cell>
          <cell r="C458">
            <v>522668</v>
          </cell>
          <cell r="D458">
            <v>47040.119999999995</v>
          </cell>
          <cell r="E458">
            <v>47040.119999999995</v>
          </cell>
          <cell r="F458"/>
          <cell r="G458">
            <v>616748.24</v>
          </cell>
        </row>
        <row r="459">
          <cell r="B459"/>
          <cell r="C459"/>
          <cell r="D459"/>
          <cell r="E459"/>
          <cell r="F459"/>
          <cell r="G459"/>
        </row>
        <row r="460">
          <cell r="B460"/>
          <cell r="C460"/>
          <cell r="D460"/>
          <cell r="E460"/>
          <cell r="F460"/>
          <cell r="G460"/>
        </row>
        <row r="461">
          <cell r="B461" t="str">
            <v>TOTAL OS 3148</v>
          </cell>
          <cell r="C461">
            <v>1468426.1179999998</v>
          </cell>
          <cell r="D461">
            <v>153501.18027000001</v>
          </cell>
          <cell r="E461">
            <v>153501.18027000001</v>
          </cell>
          <cell r="F461" t="e">
            <v>#REF!</v>
          </cell>
          <cell r="G461">
            <v>1775428.47854</v>
          </cell>
        </row>
        <row r="462">
          <cell r="B462"/>
          <cell r="C462"/>
          <cell r="D462"/>
          <cell r="E462"/>
          <cell r="F462"/>
        </row>
        <row r="464">
          <cell r="B464" t="str">
            <v>PLANT 1160</v>
          </cell>
          <cell r="C464" t="str">
            <v>Basic Value</v>
          </cell>
          <cell r="D464" t="str">
            <v>CGST</v>
          </cell>
          <cell r="E464" t="str">
            <v>SGST</v>
          </cell>
          <cell r="F464"/>
          <cell r="G464" t="str">
            <v>Total</v>
          </cell>
        </row>
        <row r="465">
          <cell r="B465" t="str">
            <v>NCPL - 14 October'20</v>
          </cell>
          <cell r="C465">
            <v>66664.425000000003</v>
          </cell>
          <cell r="D465">
            <v>5999.7982499999998</v>
          </cell>
          <cell r="E465">
            <v>3999.8654999999999</v>
          </cell>
          <cell r="F465"/>
          <cell r="G465">
            <v>76664.08875000001</v>
          </cell>
        </row>
        <row r="466">
          <cell r="B466" t="str">
            <v>NCPL - 13 October</v>
          </cell>
          <cell r="C466">
            <v>121247.6875</v>
          </cell>
          <cell r="D466">
            <v>7274.8612500000099</v>
          </cell>
          <cell r="E466">
            <v>7274.8612500000099</v>
          </cell>
          <cell r="F466"/>
          <cell r="G466">
            <v>135797.41000000003</v>
          </cell>
        </row>
        <row r="467">
          <cell r="B467" t="str">
            <v>NCPL-16 November</v>
          </cell>
          <cell r="C467">
            <v>9287705.1999999993</v>
          </cell>
          <cell r="D467">
            <v>557262.31200000003</v>
          </cell>
          <cell r="E467">
            <v>557262.31200000003</v>
          </cell>
          <cell r="F467"/>
          <cell r="G467">
            <v>10402229.824000001</v>
          </cell>
        </row>
        <row r="468">
          <cell r="B468" t="str">
            <v>TOTAL OS 1160</v>
          </cell>
          <cell r="C468">
            <v>9475617.3125</v>
          </cell>
          <cell r="D468">
            <v>570536.97149999999</v>
          </cell>
          <cell r="E468">
            <v>568537.03875000007</v>
          </cell>
          <cell r="F468" t="e">
            <v>#REF!</v>
          </cell>
          <cell r="G468">
            <v>10614691.32275</v>
          </cell>
        </row>
        <row r="469">
          <cell r="B469"/>
          <cell r="C469"/>
          <cell r="D469"/>
          <cell r="E469"/>
          <cell r="F469"/>
        </row>
        <row r="471">
          <cell r="B471" t="str">
            <v>PLANT 1167</v>
          </cell>
          <cell r="C471" t="str">
            <v>Basic Value</v>
          </cell>
          <cell r="D471" t="str">
            <v>CGST</v>
          </cell>
          <cell r="E471" t="str">
            <v>SGST</v>
          </cell>
          <cell r="F471"/>
          <cell r="G471" t="str">
            <v>Total</v>
          </cell>
        </row>
        <row r="472">
          <cell r="B472"/>
          <cell r="C472"/>
          <cell r="D472"/>
          <cell r="E472"/>
          <cell r="F472"/>
          <cell r="G472"/>
        </row>
        <row r="473">
          <cell r="B473" t="str">
            <v>Compensation Jan' 20</v>
          </cell>
          <cell r="C473">
            <v>18000000</v>
          </cell>
          <cell r="D473">
            <v>1080000</v>
          </cell>
          <cell r="E473">
            <v>1080000</v>
          </cell>
          <cell r="F473"/>
          <cell r="G473">
            <v>20160000</v>
          </cell>
        </row>
        <row r="474">
          <cell r="B474" t="str">
            <v xml:space="preserve">Advance </v>
          </cell>
          <cell r="C474">
            <v>-66000000</v>
          </cell>
          <cell r="D474"/>
          <cell r="E474"/>
          <cell r="F474"/>
          <cell r="G474">
            <v>-66000000</v>
          </cell>
        </row>
        <row r="475">
          <cell r="B475" t="str">
            <v>BMWIL-GMH-78 November</v>
          </cell>
          <cell r="C475">
            <v>112886219.222</v>
          </cell>
          <cell r="D475">
            <v>6773173.1533199996</v>
          </cell>
          <cell r="E475">
            <v>6773173.1533199996</v>
          </cell>
          <cell r="F475"/>
          <cell r="G475">
            <v>126432565.52864</v>
          </cell>
        </row>
        <row r="476">
          <cell r="B476" t="str">
            <v>BMWIL-GMH-79 November</v>
          </cell>
          <cell r="C476">
            <v>487201.21500000003</v>
          </cell>
          <cell r="D476">
            <v>43848.109349999999</v>
          </cell>
          <cell r="E476">
            <v>43848.109349999999</v>
          </cell>
          <cell r="F476"/>
          <cell r="G476">
            <v>574897.43370000005</v>
          </cell>
        </row>
        <row r="477">
          <cell r="B477" t="str">
            <v>SV1501000003 November</v>
          </cell>
          <cell r="C477">
            <v>116600213.237</v>
          </cell>
          <cell r="D477">
            <v>6996012.7942199996</v>
          </cell>
          <cell r="E477">
            <v>6996012.7942199996</v>
          </cell>
          <cell r="F477"/>
          <cell r="G477">
            <v>130592238.82544</v>
          </cell>
        </row>
        <row r="478">
          <cell r="B478" t="str">
            <v>SV1501000004 November</v>
          </cell>
          <cell r="C478">
            <v>590380.14500000002</v>
          </cell>
          <cell r="D478">
            <v>53134.213049999998</v>
          </cell>
          <cell r="E478">
            <v>53134.213049999998</v>
          </cell>
          <cell r="F478"/>
          <cell r="G478">
            <v>696648.57110000006</v>
          </cell>
        </row>
        <row r="479">
          <cell r="B479" t="str">
            <v>TOTAL OS 1167</v>
          </cell>
          <cell r="C479">
            <v>182564013.81900004</v>
          </cell>
          <cell r="D479">
            <v>14946168.26994</v>
          </cell>
          <cell r="E479">
            <v>14946168.26994</v>
          </cell>
          <cell r="F479" t="e">
            <v>#REF!</v>
          </cell>
          <cell r="G479">
            <v>212456350.35887998</v>
          </cell>
        </row>
        <row r="480">
          <cell r="B480"/>
          <cell r="C480"/>
          <cell r="D480"/>
          <cell r="E480"/>
          <cell r="F480"/>
        </row>
        <row r="481">
          <cell r="C481"/>
        </row>
        <row r="482">
          <cell r="B482" t="str">
            <v>PLANT 1182</v>
          </cell>
          <cell r="C482" t="str">
            <v>Basic Value</v>
          </cell>
          <cell r="D482" t="str">
            <v>CGST</v>
          </cell>
          <cell r="E482" t="str">
            <v>SGST</v>
          </cell>
          <cell r="F482"/>
          <cell r="G482" t="str">
            <v>Total</v>
          </cell>
        </row>
        <row r="483">
          <cell r="B483"/>
          <cell r="C483"/>
          <cell r="D483">
            <v>0</v>
          </cell>
          <cell r="E483">
            <v>0</v>
          </cell>
          <cell r="F483"/>
          <cell r="G483"/>
        </row>
        <row r="484">
          <cell r="B484" t="str">
            <v>TOTAL OS 1182</v>
          </cell>
          <cell r="C484">
            <v>0</v>
          </cell>
          <cell r="D484">
            <v>0</v>
          </cell>
          <cell r="E484">
            <v>0</v>
          </cell>
          <cell r="F484" t="e">
            <v>#REF!</v>
          </cell>
          <cell r="G484">
            <v>0</v>
          </cell>
        </row>
        <row r="485">
          <cell r="B485"/>
          <cell r="C485"/>
          <cell r="D485"/>
          <cell r="E485"/>
          <cell r="F485"/>
          <cell r="G485"/>
        </row>
        <row r="487">
          <cell r="B487" t="str">
            <v>PLANT 1187</v>
          </cell>
          <cell r="C487" t="str">
            <v>Basic Value</v>
          </cell>
          <cell r="D487" t="str">
            <v>CGST</v>
          </cell>
          <cell r="E487" t="str">
            <v>SGST</v>
          </cell>
          <cell r="F487"/>
          <cell r="G487" t="str">
            <v>Total</v>
          </cell>
        </row>
        <row r="488">
          <cell r="B488"/>
          <cell r="C488">
            <v>0</v>
          </cell>
          <cell r="D488">
            <v>0</v>
          </cell>
          <cell r="E488">
            <v>0</v>
          </cell>
          <cell r="F488"/>
          <cell r="G488"/>
        </row>
        <row r="489">
          <cell r="B489" t="str">
            <v>TOTAL OS 1187</v>
          </cell>
          <cell r="C489">
            <v>0</v>
          </cell>
          <cell r="D489">
            <v>0</v>
          </cell>
          <cell r="E489">
            <v>0</v>
          </cell>
          <cell r="F489" t="e">
            <v>#REF!</v>
          </cell>
          <cell r="G489">
            <v>0</v>
          </cell>
        </row>
        <row r="490">
          <cell r="B490"/>
          <cell r="C490"/>
          <cell r="D490"/>
          <cell r="E490"/>
          <cell r="F490"/>
        </row>
        <row r="492">
          <cell r="B492" t="str">
            <v>PLANT 3220</v>
          </cell>
          <cell r="C492" t="str">
            <v>Basic Value</v>
          </cell>
          <cell r="D492" t="str">
            <v>CGST</v>
          </cell>
          <cell r="E492" t="str">
            <v>SGST</v>
          </cell>
          <cell r="F492"/>
          <cell r="G492" t="str">
            <v>Total</v>
          </cell>
        </row>
        <row r="493">
          <cell r="B493" t="str">
            <v>SI20271/000102 October'20</v>
          </cell>
          <cell r="C493">
            <v>367380.20782225701</v>
          </cell>
          <cell r="D493">
            <v>22042.8124693354</v>
          </cell>
          <cell r="E493">
            <v>22042.8124693354</v>
          </cell>
          <cell r="F493"/>
          <cell r="G493">
            <v>411465.83276092779</v>
          </cell>
        </row>
        <row r="494">
          <cell r="B494" t="str">
            <v>Nov'20</v>
          </cell>
          <cell r="C494">
            <v>276735.44998303731</v>
          </cell>
          <cell r="D494">
            <v>16604.126998982239</v>
          </cell>
          <cell r="E494">
            <v>16604.126998982239</v>
          </cell>
          <cell r="F494"/>
          <cell r="G494">
            <v>309943.70398100174</v>
          </cell>
        </row>
        <row r="495">
          <cell r="B495" t="str">
            <v>TOTAL OS 3220</v>
          </cell>
          <cell r="C495">
            <v>644115.65780529426</v>
          </cell>
          <cell r="D495">
            <v>38646.939468317636</v>
          </cell>
          <cell r="E495">
            <v>38646.939468317636</v>
          </cell>
          <cell r="F495" t="e">
            <v>#REF!</v>
          </cell>
          <cell r="G495">
            <v>721409.53674192959</v>
          </cell>
        </row>
        <row r="496">
          <cell r="B496"/>
          <cell r="C496"/>
          <cell r="D496"/>
          <cell r="E496"/>
          <cell r="F496"/>
        </row>
        <row r="498">
          <cell r="B498" t="str">
            <v>PLANT 1267</v>
          </cell>
          <cell r="C498" t="str">
            <v>Basic Value</v>
          </cell>
          <cell r="D498" t="str">
            <v>CGST</v>
          </cell>
          <cell r="E498" t="str">
            <v>SGST</v>
          </cell>
          <cell r="F498"/>
          <cell r="G498" t="str">
            <v>Total</v>
          </cell>
        </row>
        <row r="499">
          <cell r="B499"/>
          <cell r="C499"/>
          <cell r="D499"/>
          <cell r="E499"/>
          <cell r="F499"/>
          <cell r="G499"/>
        </row>
        <row r="500">
          <cell r="B500" t="str">
            <v>Nov'20 Prov November</v>
          </cell>
          <cell r="C500">
            <v>367.64</v>
          </cell>
          <cell r="D500">
            <v>22.058399999999999</v>
          </cell>
          <cell r="E500">
            <v>22.058399999999999</v>
          </cell>
          <cell r="F500"/>
          <cell r="G500">
            <v>411.7568</v>
          </cell>
        </row>
        <row r="501">
          <cell r="B501" t="str">
            <v>TOTAL OS 1267</v>
          </cell>
          <cell r="C501">
            <v>367.64</v>
          </cell>
          <cell r="D501">
            <v>22.058399999999999</v>
          </cell>
          <cell r="E501">
            <v>22.058399999999999</v>
          </cell>
          <cell r="F501" t="e">
            <v>#REF!</v>
          </cell>
          <cell r="G501">
            <v>411.7568</v>
          </cell>
        </row>
        <row r="502">
          <cell r="B502"/>
          <cell r="C502"/>
          <cell r="D502"/>
          <cell r="E502"/>
          <cell r="F502"/>
          <cell r="G502"/>
        </row>
        <row r="503">
          <cell r="B503"/>
          <cell r="C503"/>
          <cell r="D503"/>
          <cell r="E503"/>
          <cell r="F503"/>
          <cell r="G503"/>
        </row>
        <row r="504">
          <cell r="B504" t="str">
            <v>PLANT 1279</v>
          </cell>
          <cell r="C504" t="str">
            <v>Basic Value</v>
          </cell>
          <cell r="D504" t="str">
            <v>CGST</v>
          </cell>
          <cell r="E504" t="str">
            <v>SGST</v>
          </cell>
          <cell r="F504"/>
          <cell r="G504" t="str">
            <v>Total</v>
          </cell>
        </row>
        <row r="505">
          <cell r="B505" t="str">
            <v>SI20271/000102 Sep'20</v>
          </cell>
          <cell r="C505">
            <v>5529.08</v>
          </cell>
          <cell r="D505">
            <v>331.7448</v>
          </cell>
          <cell r="E505">
            <v>331.7448</v>
          </cell>
          <cell r="F505"/>
          <cell r="G505">
            <v>6192.5696000000007</v>
          </cell>
        </row>
        <row r="506">
          <cell r="B506" t="str">
            <v>SI20201/000039 October'20</v>
          </cell>
          <cell r="C506">
            <v>1618.7819999999999</v>
          </cell>
          <cell r="D506">
            <v>97.126919999999998</v>
          </cell>
          <cell r="E506">
            <v>97.126919999999998</v>
          </cell>
          <cell r="F506"/>
          <cell r="G506">
            <v>1813.0358399999998</v>
          </cell>
        </row>
        <row r="507">
          <cell r="B507" t="str">
            <v>Nov'20 Prov November</v>
          </cell>
          <cell r="C507">
            <v>215304.27600000001</v>
          </cell>
          <cell r="D507">
            <v>12918.25656</v>
          </cell>
          <cell r="E507">
            <v>12918.25656</v>
          </cell>
          <cell r="F507"/>
          <cell r="G507">
            <v>241140.78912000003</v>
          </cell>
        </row>
        <row r="508">
          <cell r="B508" t="str">
            <v>TOTAL OS 1279</v>
          </cell>
          <cell r="C508">
            <v>222452.13800000001</v>
          </cell>
          <cell r="D508">
            <v>12918.25656</v>
          </cell>
          <cell r="E508">
            <v>13347.128279999999</v>
          </cell>
          <cell r="F508" t="e">
            <v>#REF!</v>
          </cell>
          <cell r="G508">
            <v>249146.39456000004</v>
          </cell>
        </row>
        <row r="509">
          <cell r="B509"/>
          <cell r="C509"/>
          <cell r="D509"/>
          <cell r="E509"/>
          <cell r="F509"/>
        </row>
        <row r="510">
          <cell r="B510"/>
          <cell r="C510"/>
          <cell r="D510"/>
          <cell r="E510"/>
          <cell r="F510"/>
        </row>
        <row r="511">
          <cell r="B511" t="str">
            <v>PLANT 1188</v>
          </cell>
          <cell r="C511" t="str">
            <v>Basic Value</v>
          </cell>
          <cell r="D511" t="str">
            <v>CGST</v>
          </cell>
          <cell r="E511" t="str">
            <v>SGST</v>
          </cell>
          <cell r="F511"/>
          <cell r="G511" t="str">
            <v>Total</v>
          </cell>
        </row>
        <row r="512">
          <cell r="B512"/>
          <cell r="C512"/>
          <cell r="D512">
            <v>0</v>
          </cell>
          <cell r="E512">
            <v>0</v>
          </cell>
          <cell r="F512"/>
          <cell r="G512">
            <v>0</v>
          </cell>
        </row>
        <row r="513">
          <cell r="B513" t="str">
            <v>SI20202/000104 October'20</v>
          </cell>
          <cell r="C513">
            <v>130690.466</v>
          </cell>
          <cell r="D513">
            <v>7841.42796</v>
          </cell>
          <cell r="E513">
            <v>7841.42796</v>
          </cell>
          <cell r="F513"/>
          <cell r="G513">
            <v>146373.32191999999</v>
          </cell>
        </row>
        <row r="514">
          <cell r="B514" t="str">
            <v>TOTAL OS 1188</v>
          </cell>
          <cell r="C514">
            <v>130690.466</v>
          </cell>
          <cell r="D514">
            <v>7841.42796</v>
          </cell>
          <cell r="E514">
            <v>7841.42796</v>
          </cell>
          <cell r="F514" t="e">
            <v>#REF!</v>
          </cell>
          <cell r="G514">
            <v>146373.32191999999</v>
          </cell>
        </row>
        <row r="515">
          <cell r="B515"/>
          <cell r="C515"/>
          <cell r="D515"/>
          <cell r="E515"/>
          <cell r="F515"/>
          <cell r="G515"/>
        </row>
        <row r="516">
          <cell r="B516"/>
          <cell r="C516"/>
          <cell r="D516"/>
          <cell r="E516"/>
          <cell r="F516"/>
          <cell r="G516"/>
        </row>
        <row r="517">
          <cell r="B517" t="str">
            <v>PLANT 4641</v>
          </cell>
          <cell r="C517" t="str">
            <v>Basic Value</v>
          </cell>
          <cell r="D517" t="str">
            <v>CGST</v>
          </cell>
          <cell r="E517" t="str">
            <v>SGST</v>
          </cell>
          <cell r="F517"/>
          <cell r="G517" t="str">
            <v>Total</v>
          </cell>
        </row>
        <row r="518">
          <cell r="B518"/>
          <cell r="C518"/>
          <cell r="D518">
            <v>0</v>
          </cell>
          <cell r="E518">
            <v>0</v>
          </cell>
          <cell r="F518"/>
          <cell r="G518" t="e">
            <v>#REF!</v>
          </cell>
        </row>
        <row r="519">
          <cell r="B519" t="str">
            <v>TOTAL OS 4641</v>
          </cell>
          <cell r="C519">
            <v>0</v>
          </cell>
          <cell r="D519">
            <v>0</v>
          </cell>
          <cell r="E519">
            <v>0</v>
          </cell>
          <cell r="F519" t="e">
            <v>#REF!</v>
          </cell>
          <cell r="G519" t="e">
            <v>#REF!</v>
          </cell>
        </row>
        <row r="520">
          <cell r="B520"/>
          <cell r="C520"/>
          <cell r="D520"/>
          <cell r="E520"/>
          <cell r="F520"/>
          <cell r="G520"/>
        </row>
        <row r="521">
          <cell r="B521"/>
          <cell r="C521"/>
          <cell r="D521"/>
          <cell r="E521"/>
          <cell r="F521"/>
          <cell r="G521"/>
        </row>
        <row r="522">
          <cell r="B522" t="str">
            <v>PLANT 4423</v>
          </cell>
          <cell r="C522" t="str">
            <v>Basic Value</v>
          </cell>
          <cell r="D522" t="str">
            <v>CGST</v>
          </cell>
          <cell r="E522" t="str">
            <v>SGST</v>
          </cell>
          <cell r="F522"/>
          <cell r="G522" t="str">
            <v>Total</v>
          </cell>
        </row>
        <row r="523">
          <cell r="B523"/>
          <cell r="C523">
            <v>0</v>
          </cell>
          <cell r="D523">
            <v>0</v>
          </cell>
          <cell r="E523">
            <v>0</v>
          </cell>
          <cell r="F523"/>
          <cell r="G523">
            <v>0</v>
          </cell>
        </row>
        <row r="524">
          <cell r="B524" t="str">
            <v>TOTAL OS 4423</v>
          </cell>
          <cell r="C524">
            <v>0</v>
          </cell>
          <cell r="D524">
            <v>0</v>
          </cell>
          <cell r="E524">
            <v>0</v>
          </cell>
          <cell r="F524" t="e">
            <v>#REF!</v>
          </cell>
          <cell r="G524">
            <v>0</v>
          </cell>
        </row>
        <row r="525">
          <cell r="B525"/>
          <cell r="C525"/>
          <cell r="D525"/>
          <cell r="E525"/>
          <cell r="F525"/>
        </row>
        <row r="526">
          <cell r="B526"/>
          <cell r="C526"/>
          <cell r="D526"/>
          <cell r="E526"/>
          <cell r="F526"/>
        </row>
        <row r="527">
          <cell r="B527" t="str">
            <v>PLANT 4131</v>
          </cell>
          <cell r="C527" t="str">
            <v>Basic Value</v>
          </cell>
          <cell r="D527" t="str">
            <v>CGST</v>
          </cell>
          <cell r="E527" t="str">
            <v>SGST</v>
          </cell>
          <cell r="F527"/>
          <cell r="G527" t="str">
            <v>Total</v>
          </cell>
        </row>
        <row r="528">
          <cell r="B528"/>
          <cell r="C528"/>
          <cell r="D528">
            <v>0</v>
          </cell>
          <cell r="E528">
            <v>0</v>
          </cell>
          <cell r="F528"/>
          <cell r="G528"/>
        </row>
        <row r="529">
          <cell r="B529" t="str">
            <v>J-080/20-21 November</v>
          </cell>
          <cell r="C529">
            <v>482592</v>
          </cell>
          <cell r="D529">
            <v>28955.52</v>
          </cell>
          <cell r="E529">
            <v>28955.52</v>
          </cell>
          <cell r="F529"/>
          <cell r="G529">
            <v>540503.04000000004</v>
          </cell>
        </row>
        <row r="530">
          <cell r="B530" t="str">
            <v>TOTAL OS 4131</v>
          </cell>
          <cell r="C530">
            <v>482592</v>
          </cell>
          <cell r="D530">
            <v>28955.52</v>
          </cell>
          <cell r="E530">
            <v>28955.52</v>
          </cell>
          <cell r="F530" t="e">
            <v>#REF!</v>
          </cell>
          <cell r="G530">
            <v>540503.04000000004</v>
          </cell>
        </row>
        <row r="531">
          <cell r="B531"/>
          <cell r="C531"/>
          <cell r="D531"/>
          <cell r="E531"/>
          <cell r="F531"/>
        </row>
        <row r="533">
          <cell r="B533" t="str">
            <v>PLANT 2239</v>
          </cell>
          <cell r="C533" t="str">
            <v>Basic Value</v>
          </cell>
          <cell r="D533" t="str">
            <v>CGST</v>
          </cell>
          <cell r="E533" t="str">
            <v>SGST</v>
          </cell>
          <cell r="F533"/>
          <cell r="G533" t="str">
            <v>Total</v>
          </cell>
        </row>
        <row r="534">
          <cell r="B534"/>
          <cell r="C534"/>
          <cell r="D534">
            <v>0</v>
          </cell>
          <cell r="E534">
            <v>0</v>
          </cell>
          <cell r="F534"/>
          <cell r="G534"/>
        </row>
        <row r="535">
          <cell r="B535" t="str">
            <v>TOTAL OS 2239</v>
          </cell>
          <cell r="C535">
            <v>0</v>
          </cell>
          <cell r="D535">
            <v>0</v>
          </cell>
          <cell r="E535">
            <v>0</v>
          </cell>
          <cell r="F535" t="e">
            <v>#REF!</v>
          </cell>
          <cell r="G535">
            <v>0</v>
          </cell>
        </row>
        <row r="536">
          <cell r="B536"/>
          <cell r="C536"/>
          <cell r="D536"/>
          <cell r="E536"/>
          <cell r="F536"/>
        </row>
        <row r="538">
          <cell r="B538" t="str">
            <v>PLANT 4134</v>
          </cell>
          <cell r="C538" t="str">
            <v>Basic Value</v>
          </cell>
          <cell r="D538" t="str">
            <v>CGST</v>
          </cell>
          <cell r="E538" t="str">
            <v>SGST</v>
          </cell>
          <cell r="F538"/>
          <cell r="G538" t="str">
            <v>Total</v>
          </cell>
        </row>
        <row r="539">
          <cell r="B539"/>
          <cell r="C539"/>
          <cell r="D539">
            <v>0</v>
          </cell>
          <cell r="E539">
            <v>0</v>
          </cell>
          <cell r="F539"/>
          <cell r="G539"/>
        </row>
        <row r="540">
          <cell r="B540" t="str">
            <v>SSR/TATA/02/398/2020-21 September</v>
          </cell>
          <cell r="C540">
            <v>71808</v>
          </cell>
          <cell r="D540">
            <v>4308.4799999999996</v>
          </cell>
          <cell r="E540">
            <v>4308.4799999999996</v>
          </cell>
          <cell r="F540"/>
          <cell r="G540">
            <v>80424.959999999992</v>
          </cell>
        </row>
        <row r="541">
          <cell r="B541" t="str">
            <v>Nov'20 November</v>
          </cell>
          <cell r="C541">
            <v>128568</v>
          </cell>
          <cell r="D541">
            <v>7714.08</v>
          </cell>
          <cell r="E541">
            <v>7714.08</v>
          </cell>
          <cell r="F541"/>
          <cell r="G541">
            <v>143996.15999999997</v>
          </cell>
        </row>
        <row r="542">
          <cell r="B542" t="str">
            <v>TOTAL OS 4134</v>
          </cell>
          <cell r="C542">
            <v>200376</v>
          </cell>
          <cell r="D542">
            <v>12022.56</v>
          </cell>
          <cell r="E542">
            <v>12022.56</v>
          </cell>
          <cell r="F542" t="e">
            <v>#REF!</v>
          </cell>
          <cell r="G542">
            <v>224421.11999999997</v>
          </cell>
        </row>
        <row r="543">
          <cell r="B543"/>
          <cell r="C543"/>
          <cell r="D543"/>
          <cell r="E543"/>
          <cell r="F543"/>
        </row>
        <row r="544">
          <cell r="D544"/>
        </row>
        <row r="545">
          <cell r="B545" t="str">
            <v>PLANT 1291</v>
          </cell>
          <cell r="C545" t="str">
            <v>Basic Value</v>
          </cell>
          <cell r="D545" t="str">
            <v>CGST</v>
          </cell>
          <cell r="E545" t="str">
            <v>SGST</v>
          </cell>
          <cell r="F545"/>
          <cell r="G545" t="str">
            <v>Total</v>
          </cell>
        </row>
        <row r="546">
          <cell r="B546"/>
          <cell r="C546"/>
          <cell r="D546"/>
          <cell r="E546"/>
          <cell r="F546"/>
          <cell r="G546"/>
        </row>
        <row r="547">
          <cell r="B547" t="str">
            <v>PSPL-2/20-21/07 October</v>
          </cell>
          <cell r="C547">
            <v>5585942.6200000001</v>
          </cell>
          <cell r="D547">
            <v>335156.55719999998</v>
          </cell>
          <cell r="E547">
            <v>335156.55719999998</v>
          </cell>
          <cell r="F547"/>
          <cell r="G547">
            <v>6256255.7343999995</v>
          </cell>
        </row>
        <row r="548">
          <cell r="B548" t="str">
            <v>PSPL-2/SLAB/01 October</v>
          </cell>
          <cell r="C548">
            <v>165235</v>
          </cell>
          <cell r="D548">
            <v>9914.1</v>
          </cell>
          <cell r="E548">
            <v>9914.1</v>
          </cell>
          <cell r="F548"/>
          <cell r="G548">
            <v>185063.2</v>
          </cell>
        </row>
        <row r="549">
          <cell r="B549" t="str">
            <v>pspl-2/20-21/08 November</v>
          </cell>
          <cell r="C549">
            <v>5870021.4299999997</v>
          </cell>
          <cell r="D549">
            <v>352201.28580000001</v>
          </cell>
          <cell r="E549">
            <v>352201.28580000001</v>
          </cell>
          <cell r="F549"/>
          <cell r="G549">
            <v>6574424.0015999991</v>
          </cell>
        </row>
        <row r="550">
          <cell r="B550" t="str">
            <v>TOTAL OS 1291</v>
          </cell>
          <cell r="C550">
            <v>11621199.050000001</v>
          </cell>
          <cell r="D550">
            <v>697271.94299999997</v>
          </cell>
          <cell r="E550">
            <v>697271.94299999997</v>
          </cell>
          <cell r="F550" t="e">
            <v>#REF!</v>
          </cell>
          <cell r="G550">
            <v>13015742.935999999</v>
          </cell>
        </row>
        <row r="551">
          <cell r="B551"/>
          <cell r="C551"/>
          <cell r="D551"/>
          <cell r="E551"/>
          <cell r="F551"/>
        </row>
        <row r="552">
          <cell r="B552"/>
          <cell r="C552"/>
          <cell r="D552"/>
          <cell r="E552"/>
          <cell r="F552"/>
        </row>
        <row r="553">
          <cell r="B553" t="str">
            <v>PLANT 3445</v>
          </cell>
          <cell r="C553" t="str">
            <v>Basic Value</v>
          </cell>
          <cell r="D553" t="str">
            <v>CGST</v>
          </cell>
          <cell r="E553" t="str">
            <v>SGST</v>
          </cell>
          <cell r="F553"/>
          <cell r="G553" t="str">
            <v>Total</v>
          </cell>
        </row>
        <row r="554">
          <cell r="B554"/>
          <cell r="C554"/>
          <cell r="D554"/>
          <cell r="E554"/>
          <cell r="F554"/>
          <cell r="G554"/>
        </row>
        <row r="555">
          <cell r="B555" t="str">
            <v>TOTAL OS 3445</v>
          </cell>
          <cell r="C555">
            <v>0</v>
          </cell>
          <cell r="D555">
            <v>0</v>
          </cell>
          <cell r="E555">
            <v>0</v>
          </cell>
          <cell r="F555" t="e">
            <v>#REF!</v>
          </cell>
          <cell r="G555">
            <v>0</v>
          </cell>
        </row>
        <row r="556">
          <cell r="B556"/>
          <cell r="C556"/>
          <cell r="D556"/>
          <cell r="E556"/>
          <cell r="F556"/>
        </row>
        <row r="557">
          <cell r="C557"/>
          <cell r="D557"/>
          <cell r="E557"/>
          <cell r="F557"/>
        </row>
        <row r="558">
          <cell r="B558" t="str">
            <v>PLANT 2111</v>
          </cell>
          <cell r="C558" t="str">
            <v>Basic Value</v>
          </cell>
          <cell r="D558" t="str">
            <v>CGST</v>
          </cell>
          <cell r="E558" t="str">
            <v>SGST</v>
          </cell>
          <cell r="F558"/>
          <cell r="G558" t="str">
            <v>Total</v>
          </cell>
        </row>
        <row r="559">
          <cell r="B559"/>
          <cell r="C559"/>
          <cell r="D559">
            <v>0</v>
          </cell>
          <cell r="E559">
            <v>0</v>
          </cell>
          <cell r="F559"/>
          <cell r="G559">
            <v>0</v>
          </cell>
        </row>
        <row r="560">
          <cell r="B560" t="str">
            <v>79 November</v>
          </cell>
          <cell r="C560">
            <v>929330.4</v>
          </cell>
          <cell r="D560">
            <v>55759.824000000001</v>
          </cell>
          <cell r="E560">
            <v>55759.824000000001</v>
          </cell>
          <cell r="F560"/>
          <cell r="G560">
            <v>1040850.0480000001</v>
          </cell>
        </row>
        <row r="561">
          <cell r="B561" t="str">
            <v>TOTAL OS 2111</v>
          </cell>
          <cell r="C561">
            <v>929330.4</v>
          </cell>
          <cell r="D561">
            <v>55759.824000000001</v>
          </cell>
          <cell r="E561">
            <v>55759.824000000001</v>
          </cell>
          <cell r="F561" t="e">
            <v>#REF!</v>
          </cell>
          <cell r="G561">
            <v>1040850.0480000001</v>
          </cell>
        </row>
        <row r="562">
          <cell r="B562"/>
          <cell r="C562"/>
          <cell r="D562"/>
          <cell r="E562"/>
          <cell r="F562"/>
        </row>
        <row r="563">
          <cell r="B563"/>
          <cell r="C563"/>
          <cell r="D563"/>
          <cell r="E563"/>
          <cell r="F563"/>
        </row>
        <row r="564">
          <cell r="B564"/>
          <cell r="C564"/>
          <cell r="D564"/>
          <cell r="E564"/>
          <cell r="F564"/>
        </row>
        <row r="565">
          <cell r="B565"/>
          <cell r="C565"/>
          <cell r="D565"/>
          <cell r="E565"/>
          <cell r="F565"/>
        </row>
        <row r="566">
          <cell r="B566"/>
          <cell r="C566"/>
          <cell r="D566"/>
          <cell r="E566"/>
          <cell r="F566"/>
        </row>
        <row r="567">
          <cell r="B567"/>
          <cell r="C567"/>
          <cell r="D567"/>
          <cell r="E567"/>
          <cell r="F567"/>
        </row>
        <row r="568">
          <cell r="B568"/>
          <cell r="C568"/>
          <cell r="D568"/>
          <cell r="E568"/>
          <cell r="F568"/>
        </row>
        <row r="569">
          <cell r="B569"/>
          <cell r="C569"/>
          <cell r="D569"/>
          <cell r="E569"/>
          <cell r="F569"/>
        </row>
        <row r="570">
          <cell r="B570"/>
          <cell r="C570"/>
          <cell r="D570"/>
          <cell r="E570"/>
          <cell r="F570"/>
        </row>
        <row r="571">
          <cell r="B571"/>
          <cell r="C571"/>
          <cell r="D571"/>
          <cell r="E571"/>
          <cell r="F571"/>
        </row>
        <row r="572">
          <cell r="B572"/>
          <cell r="C572"/>
          <cell r="D572"/>
          <cell r="E572"/>
          <cell r="F572"/>
        </row>
        <row r="573">
          <cell r="B573"/>
          <cell r="C573"/>
          <cell r="D573"/>
          <cell r="E573"/>
          <cell r="F573"/>
        </row>
        <row r="574">
          <cell r="B574"/>
          <cell r="C574"/>
          <cell r="D574"/>
          <cell r="E574"/>
          <cell r="F574"/>
        </row>
        <row r="575">
          <cell r="B575"/>
          <cell r="C575"/>
          <cell r="D575"/>
          <cell r="E575"/>
          <cell r="F575"/>
        </row>
        <row r="576">
          <cell r="B576"/>
          <cell r="C576"/>
          <cell r="D576"/>
          <cell r="E576"/>
          <cell r="F576"/>
        </row>
        <row r="577">
          <cell r="B577"/>
          <cell r="C577"/>
          <cell r="D577"/>
          <cell r="E577"/>
          <cell r="F577"/>
        </row>
        <row r="578">
          <cell r="B578"/>
          <cell r="C578"/>
          <cell r="D578"/>
          <cell r="E578"/>
          <cell r="F578"/>
        </row>
        <row r="579">
          <cell r="B579"/>
          <cell r="C579"/>
          <cell r="D579"/>
          <cell r="E579"/>
          <cell r="F579"/>
        </row>
        <row r="580">
          <cell r="B580"/>
          <cell r="C580"/>
          <cell r="D580"/>
          <cell r="E580"/>
          <cell r="F580"/>
        </row>
        <row r="581">
          <cell r="B581"/>
          <cell r="C581"/>
          <cell r="D581"/>
          <cell r="E581"/>
          <cell r="F581"/>
        </row>
        <row r="582">
          <cell r="B582"/>
          <cell r="C582"/>
          <cell r="D582"/>
          <cell r="E582"/>
          <cell r="F582"/>
        </row>
        <row r="583">
          <cell r="B583"/>
          <cell r="C583"/>
          <cell r="D583"/>
          <cell r="E583"/>
          <cell r="F583"/>
        </row>
        <row r="584">
          <cell r="B584"/>
          <cell r="C584"/>
          <cell r="D584"/>
          <cell r="E584"/>
          <cell r="F584"/>
        </row>
        <row r="585">
          <cell r="B585"/>
          <cell r="C585"/>
          <cell r="D585"/>
          <cell r="E585"/>
          <cell r="F585"/>
          <cell r="G585"/>
        </row>
        <row r="586">
          <cell r="B586"/>
          <cell r="C586"/>
          <cell r="D586"/>
          <cell r="E586"/>
          <cell r="F586"/>
          <cell r="G586"/>
        </row>
        <row r="587">
          <cell r="B587"/>
          <cell r="C587"/>
          <cell r="D587"/>
          <cell r="E587"/>
          <cell r="F587"/>
        </row>
        <row r="588">
          <cell r="B588"/>
          <cell r="C588"/>
          <cell r="D588"/>
          <cell r="E588"/>
          <cell r="F588"/>
        </row>
        <row r="589">
          <cell r="B589"/>
          <cell r="C589"/>
          <cell r="D589"/>
          <cell r="E589"/>
          <cell r="F589"/>
        </row>
        <row r="590">
          <cell r="B590"/>
          <cell r="C590"/>
          <cell r="D590"/>
          <cell r="E590"/>
          <cell r="F590"/>
        </row>
        <row r="591">
          <cell r="B591"/>
          <cell r="C591"/>
          <cell r="D591"/>
          <cell r="E591"/>
          <cell r="F591"/>
        </row>
        <row r="592">
          <cell r="B592"/>
          <cell r="C592"/>
          <cell r="D592"/>
          <cell r="E592"/>
          <cell r="F592"/>
        </row>
        <row r="593">
          <cell r="B593"/>
          <cell r="C593"/>
          <cell r="D593"/>
          <cell r="E593"/>
          <cell r="F593"/>
          <cell r="G593"/>
        </row>
        <row r="594">
          <cell r="B594"/>
          <cell r="C594"/>
          <cell r="D594"/>
          <cell r="E594"/>
          <cell r="F594"/>
        </row>
        <row r="595">
          <cell r="B595"/>
          <cell r="C595"/>
          <cell r="D595"/>
          <cell r="E595"/>
          <cell r="F595"/>
        </row>
        <row r="596">
          <cell r="B596"/>
          <cell r="C596"/>
          <cell r="D596"/>
          <cell r="E596"/>
          <cell r="F596"/>
        </row>
        <row r="597">
          <cell r="B597"/>
          <cell r="C597"/>
          <cell r="D597"/>
          <cell r="E597"/>
          <cell r="F597"/>
        </row>
        <row r="598">
          <cell r="B598"/>
          <cell r="C598"/>
          <cell r="D598"/>
          <cell r="E598"/>
          <cell r="F598"/>
        </row>
        <row r="599">
          <cell r="B599"/>
          <cell r="C599"/>
          <cell r="D599"/>
          <cell r="E599"/>
          <cell r="F599"/>
        </row>
        <row r="600">
          <cell r="B600"/>
          <cell r="C600"/>
          <cell r="D600"/>
          <cell r="E600"/>
          <cell r="F600"/>
        </row>
        <row r="601">
          <cell r="B601"/>
          <cell r="C601"/>
          <cell r="D601"/>
          <cell r="E601"/>
          <cell r="F601"/>
        </row>
        <row r="602">
          <cell r="B602"/>
          <cell r="C602"/>
          <cell r="D602"/>
          <cell r="E602"/>
          <cell r="F602"/>
        </row>
        <row r="603">
          <cell r="B603"/>
          <cell r="C603"/>
          <cell r="D603"/>
          <cell r="E603"/>
          <cell r="F603"/>
        </row>
        <row r="604">
          <cell r="B604"/>
          <cell r="C604"/>
          <cell r="D604"/>
          <cell r="E604"/>
          <cell r="F604"/>
        </row>
        <row r="605">
          <cell r="B605"/>
          <cell r="C605"/>
          <cell r="D605"/>
          <cell r="E605"/>
          <cell r="F605"/>
        </row>
        <row r="606">
          <cell r="B606"/>
          <cell r="C606"/>
          <cell r="D606"/>
          <cell r="E606"/>
          <cell r="F606"/>
        </row>
        <row r="607">
          <cell r="B607"/>
          <cell r="C607"/>
          <cell r="D607"/>
          <cell r="E607"/>
          <cell r="F607"/>
        </row>
        <row r="608">
          <cell r="B608"/>
          <cell r="C608"/>
          <cell r="D608"/>
          <cell r="E608"/>
          <cell r="F608"/>
        </row>
        <row r="609">
          <cell r="B609"/>
          <cell r="C609"/>
          <cell r="D609"/>
          <cell r="E609"/>
          <cell r="F609"/>
        </row>
        <row r="610">
          <cell r="B610"/>
          <cell r="C610"/>
          <cell r="D610"/>
          <cell r="E610"/>
          <cell r="F610"/>
        </row>
        <row r="611">
          <cell r="B611"/>
          <cell r="C611"/>
          <cell r="D611"/>
          <cell r="E611"/>
          <cell r="F611"/>
        </row>
        <row r="612">
          <cell r="B612"/>
          <cell r="C612"/>
          <cell r="D612"/>
          <cell r="E612"/>
          <cell r="F612"/>
        </row>
        <row r="613">
          <cell r="B613"/>
          <cell r="C613"/>
          <cell r="D613"/>
          <cell r="E613"/>
          <cell r="F613"/>
        </row>
        <row r="614">
          <cell r="B614"/>
          <cell r="C614"/>
          <cell r="D614"/>
          <cell r="E614"/>
          <cell r="F614"/>
        </row>
        <row r="615">
          <cell r="B615"/>
          <cell r="C615"/>
          <cell r="D615"/>
          <cell r="E615"/>
          <cell r="F615"/>
        </row>
        <row r="616">
          <cell r="B616"/>
          <cell r="C616"/>
          <cell r="D616"/>
          <cell r="E616"/>
          <cell r="F616"/>
        </row>
        <row r="617">
          <cell r="B617"/>
          <cell r="C617"/>
          <cell r="D617"/>
          <cell r="E617"/>
          <cell r="F617"/>
        </row>
        <row r="618">
          <cell r="B618"/>
          <cell r="C618"/>
          <cell r="D618"/>
          <cell r="E618"/>
          <cell r="F618"/>
        </row>
        <row r="619">
          <cell r="B619"/>
          <cell r="C619"/>
          <cell r="D619"/>
          <cell r="E619"/>
          <cell r="F619"/>
        </row>
        <row r="620">
          <cell r="B620"/>
          <cell r="C620"/>
          <cell r="D620"/>
          <cell r="E620"/>
          <cell r="F620"/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79"/>
  <sheetViews>
    <sheetView showGridLines="0" tabSelected="1" zoomScale="90" zoomScaleNormal="90" workbookViewId="0">
      <pane xSplit="2" ySplit="8" topLeftCell="L9" activePane="bottomRight" state="frozen"/>
      <selection activeCell="B351" sqref="B351"/>
      <selection pane="topRight" activeCell="B351" sqref="B351"/>
      <selection pane="bottomLeft" activeCell="B351" sqref="B351"/>
      <selection pane="bottomRight" activeCell="M1" sqref="M1"/>
    </sheetView>
  </sheetViews>
  <sheetFormatPr defaultRowHeight="12.75" x14ac:dyDescent="0.2"/>
  <cols>
    <col min="1" max="1" width="6.7109375" style="76" customWidth="1"/>
    <col min="2" max="3" width="23.140625" style="106" customWidth="1"/>
    <col min="4" max="4" width="10.140625" style="106" hidden="1" customWidth="1"/>
    <col min="5" max="5" width="26.85546875" style="76" customWidth="1"/>
    <col min="6" max="6" width="0.7109375" style="76" hidden="1" customWidth="1"/>
    <col min="7" max="7" width="21.7109375" style="76" customWidth="1"/>
    <col min="8" max="8" width="22.140625" style="76" customWidth="1"/>
    <col min="9" max="9" width="16.140625" style="76" customWidth="1"/>
    <col min="10" max="10" width="15.5703125" style="76" customWidth="1"/>
    <col min="11" max="11" width="23.42578125" style="76" customWidth="1"/>
    <col min="12" max="12" width="20" style="76" customWidth="1"/>
    <col min="13" max="13" width="17.7109375" style="76" customWidth="1"/>
    <col min="14" max="14" width="18.5703125" style="76" customWidth="1"/>
    <col min="15" max="15" width="15.85546875" style="76" customWidth="1"/>
    <col min="16" max="16" width="19.7109375" style="92" customWidth="1"/>
    <col min="17" max="17" width="16.7109375" style="76" customWidth="1"/>
    <col min="18" max="18" width="15.5703125" style="76" customWidth="1"/>
    <col min="19" max="19" width="13.42578125" style="76" customWidth="1"/>
    <col min="20" max="20" width="14.85546875" style="76" customWidth="1"/>
    <col min="21" max="21" width="8.85546875" style="76"/>
    <col min="22" max="22" width="10.85546875" style="76" customWidth="1"/>
    <col min="23" max="23" width="8.85546875" style="76"/>
    <col min="24" max="24" width="10.85546875" style="76" customWidth="1"/>
    <col min="25" max="25" width="9.85546875" style="76" customWidth="1"/>
    <col min="26" max="26" width="10.85546875" style="180" customWidth="1"/>
    <col min="27" max="29" width="8.85546875" style="76"/>
    <col min="30" max="30" width="14.85546875" style="76" customWidth="1"/>
    <col min="31" max="227" width="8.85546875" style="76"/>
    <col min="228" max="228" width="5.140625" style="76" customWidth="1"/>
    <col min="229" max="229" width="32" style="76" customWidth="1"/>
    <col min="230" max="230" width="12.42578125" style="76" customWidth="1"/>
    <col min="231" max="231" width="17.28515625" style="76" customWidth="1"/>
    <col min="232" max="232" width="4.28515625" style="76" customWidth="1"/>
    <col min="233" max="233" width="14.7109375" style="76" customWidth="1"/>
    <col min="234" max="234" width="4.5703125" style="76" customWidth="1"/>
    <col min="235" max="235" width="16" style="76" customWidth="1"/>
    <col min="236" max="236" width="4.5703125" style="76" customWidth="1"/>
    <col min="237" max="237" width="15.42578125" style="76" customWidth="1"/>
    <col min="238" max="238" width="25.140625" style="76" customWidth="1"/>
    <col min="239" max="239" width="4.5703125" style="76" customWidth="1"/>
    <col min="240" max="240" width="17.28515625" style="76" customWidth="1"/>
    <col min="241" max="241" width="8.42578125" style="76" customWidth="1"/>
    <col min="242" max="242" width="15.5703125" style="76" customWidth="1"/>
    <col min="243" max="243" width="15.42578125" style="76" customWidth="1"/>
    <col min="244" max="245" width="13.5703125" style="76" customWidth="1"/>
    <col min="246" max="483" width="8.85546875" style="76"/>
    <col min="484" max="484" width="5.140625" style="76" customWidth="1"/>
    <col min="485" max="485" width="32" style="76" customWidth="1"/>
    <col min="486" max="486" width="12.42578125" style="76" customWidth="1"/>
    <col min="487" max="487" width="17.28515625" style="76" customWidth="1"/>
    <col min="488" max="488" width="4.28515625" style="76" customWidth="1"/>
    <col min="489" max="489" width="14.7109375" style="76" customWidth="1"/>
    <col min="490" max="490" width="4.5703125" style="76" customWidth="1"/>
    <col min="491" max="491" width="16" style="76" customWidth="1"/>
    <col min="492" max="492" width="4.5703125" style="76" customWidth="1"/>
    <col min="493" max="493" width="15.42578125" style="76" customWidth="1"/>
    <col min="494" max="494" width="25.140625" style="76" customWidth="1"/>
    <col min="495" max="495" width="4.5703125" style="76" customWidth="1"/>
    <col min="496" max="496" width="17.28515625" style="76" customWidth="1"/>
    <col min="497" max="497" width="8.42578125" style="76" customWidth="1"/>
    <col min="498" max="498" width="15.5703125" style="76" customWidth="1"/>
    <col min="499" max="499" width="15.42578125" style="76" customWidth="1"/>
    <col min="500" max="501" width="13.5703125" style="76" customWidth="1"/>
    <col min="502" max="739" width="8.85546875" style="76"/>
    <col min="740" max="740" width="5.140625" style="76" customWidth="1"/>
    <col min="741" max="741" width="32" style="76" customWidth="1"/>
    <col min="742" max="742" width="12.42578125" style="76" customWidth="1"/>
    <col min="743" max="743" width="17.28515625" style="76" customWidth="1"/>
    <col min="744" max="744" width="4.28515625" style="76" customWidth="1"/>
    <col min="745" max="745" width="14.7109375" style="76" customWidth="1"/>
    <col min="746" max="746" width="4.5703125" style="76" customWidth="1"/>
    <col min="747" max="747" width="16" style="76" customWidth="1"/>
    <col min="748" max="748" width="4.5703125" style="76" customWidth="1"/>
    <col min="749" max="749" width="15.42578125" style="76" customWidth="1"/>
    <col min="750" max="750" width="25.140625" style="76" customWidth="1"/>
    <col min="751" max="751" width="4.5703125" style="76" customWidth="1"/>
    <col min="752" max="752" width="17.28515625" style="76" customWidth="1"/>
    <col min="753" max="753" width="8.42578125" style="76" customWidth="1"/>
    <col min="754" max="754" width="15.5703125" style="76" customWidth="1"/>
    <col min="755" max="755" width="15.42578125" style="76" customWidth="1"/>
    <col min="756" max="757" width="13.5703125" style="76" customWidth="1"/>
    <col min="758" max="995" width="8.85546875" style="76"/>
    <col min="996" max="996" width="5.140625" style="76" customWidth="1"/>
    <col min="997" max="997" width="32" style="76" customWidth="1"/>
    <col min="998" max="998" width="12.42578125" style="76" customWidth="1"/>
    <col min="999" max="999" width="17.28515625" style="76" customWidth="1"/>
    <col min="1000" max="1000" width="4.28515625" style="76" customWidth="1"/>
    <col min="1001" max="1001" width="14.7109375" style="76" customWidth="1"/>
    <col min="1002" max="1002" width="4.5703125" style="76" customWidth="1"/>
    <col min="1003" max="1003" width="16" style="76" customWidth="1"/>
    <col min="1004" max="1004" width="4.5703125" style="76" customWidth="1"/>
    <col min="1005" max="1005" width="15.42578125" style="76" customWidth="1"/>
    <col min="1006" max="1006" width="25.140625" style="76" customWidth="1"/>
    <col min="1007" max="1007" width="4.5703125" style="76" customWidth="1"/>
    <col min="1008" max="1008" width="17.28515625" style="76" customWidth="1"/>
    <col min="1009" max="1009" width="8.42578125" style="76" customWidth="1"/>
    <col min="1010" max="1010" width="15.5703125" style="76" customWidth="1"/>
    <col min="1011" max="1011" width="15.42578125" style="76" customWidth="1"/>
    <col min="1012" max="1013" width="13.5703125" style="76" customWidth="1"/>
    <col min="1014" max="1251" width="8.85546875" style="76"/>
    <col min="1252" max="1252" width="5.140625" style="76" customWidth="1"/>
    <col min="1253" max="1253" width="32" style="76" customWidth="1"/>
    <col min="1254" max="1254" width="12.42578125" style="76" customWidth="1"/>
    <col min="1255" max="1255" width="17.28515625" style="76" customWidth="1"/>
    <col min="1256" max="1256" width="4.28515625" style="76" customWidth="1"/>
    <col min="1257" max="1257" width="14.7109375" style="76" customWidth="1"/>
    <col min="1258" max="1258" width="4.5703125" style="76" customWidth="1"/>
    <col min="1259" max="1259" width="16" style="76" customWidth="1"/>
    <col min="1260" max="1260" width="4.5703125" style="76" customWidth="1"/>
    <col min="1261" max="1261" width="15.42578125" style="76" customWidth="1"/>
    <col min="1262" max="1262" width="25.140625" style="76" customWidth="1"/>
    <col min="1263" max="1263" width="4.5703125" style="76" customWidth="1"/>
    <col min="1264" max="1264" width="17.28515625" style="76" customWidth="1"/>
    <col min="1265" max="1265" width="8.42578125" style="76" customWidth="1"/>
    <col min="1266" max="1266" width="15.5703125" style="76" customWidth="1"/>
    <col min="1267" max="1267" width="15.42578125" style="76" customWidth="1"/>
    <col min="1268" max="1269" width="13.5703125" style="76" customWidth="1"/>
    <col min="1270" max="1507" width="8.85546875" style="76"/>
    <col min="1508" max="1508" width="5.140625" style="76" customWidth="1"/>
    <col min="1509" max="1509" width="32" style="76" customWidth="1"/>
    <col min="1510" max="1510" width="12.42578125" style="76" customWidth="1"/>
    <col min="1511" max="1511" width="17.28515625" style="76" customWidth="1"/>
    <col min="1512" max="1512" width="4.28515625" style="76" customWidth="1"/>
    <col min="1513" max="1513" width="14.7109375" style="76" customWidth="1"/>
    <col min="1514" max="1514" width="4.5703125" style="76" customWidth="1"/>
    <col min="1515" max="1515" width="16" style="76" customWidth="1"/>
    <col min="1516" max="1516" width="4.5703125" style="76" customWidth="1"/>
    <col min="1517" max="1517" width="15.42578125" style="76" customWidth="1"/>
    <col min="1518" max="1518" width="25.140625" style="76" customWidth="1"/>
    <col min="1519" max="1519" width="4.5703125" style="76" customWidth="1"/>
    <col min="1520" max="1520" width="17.28515625" style="76" customWidth="1"/>
    <col min="1521" max="1521" width="8.42578125" style="76" customWidth="1"/>
    <col min="1522" max="1522" width="15.5703125" style="76" customWidth="1"/>
    <col min="1523" max="1523" width="15.42578125" style="76" customWidth="1"/>
    <col min="1524" max="1525" width="13.5703125" style="76" customWidth="1"/>
    <col min="1526" max="1763" width="8.85546875" style="76"/>
    <col min="1764" max="1764" width="5.140625" style="76" customWidth="1"/>
    <col min="1765" max="1765" width="32" style="76" customWidth="1"/>
    <col min="1766" max="1766" width="12.42578125" style="76" customWidth="1"/>
    <col min="1767" max="1767" width="17.28515625" style="76" customWidth="1"/>
    <col min="1768" max="1768" width="4.28515625" style="76" customWidth="1"/>
    <col min="1769" max="1769" width="14.7109375" style="76" customWidth="1"/>
    <col min="1770" max="1770" width="4.5703125" style="76" customWidth="1"/>
    <col min="1771" max="1771" width="16" style="76" customWidth="1"/>
    <col min="1772" max="1772" width="4.5703125" style="76" customWidth="1"/>
    <col min="1773" max="1773" width="15.42578125" style="76" customWidth="1"/>
    <col min="1774" max="1774" width="25.140625" style="76" customWidth="1"/>
    <col min="1775" max="1775" width="4.5703125" style="76" customWidth="1"/>
    <col min="1776" max="1776" width="17.28515625" style="76" customWidth="1"/>
    <col min="1777" max="1777" width="8.42578125" style="76" customWidth="1"/>
    <col min="1778" max="1778" width="15.5703125" style="76" customWidth="1"/>
    <col min="1779" max="1779" width="15.42578125" style="76" customWidth="1"/>
    <col min="1780" max="1781" width="13.5703125" style="76" customWidth="1"/>
    <col min="1782" max="2019" width="8.85546875" style="76"/>
    <col min="2020" max="2020" width="5.140625" style="76" customWidth="1"/>
    <col min="2021" max="2021" width="32" style="76" customWidth="1"/>
    <col min="2022" max="2022" width="12.42578125" style="76" customWidth="1"/>
    <col min="2023" max="2023" width="17.28515625" style="76" customWidth="1"/>
    <col min="2024" max="2024" width="4.28515625" style="76" customWidth="1"/>
    <col min="2025" max="2025" width="14.7109375" style="76" customWidth="1"/>
    <col min="2026" max="2026" width="4.5703125" style="76" customWidth="1"/>
    <col min="2027" max="2027" width="16" style="76" customWidth="1"/>
    <col min="2028" max="2028" width="4.5703125" style="76" customWidth="1"/>
    <col min="2029" max="2029" width="15.42578125" style="76" customWidth="1"/>
    <col min="2030" max="2030" width="25.140625" style="76" customWidth="1"/>
    <col min="2031" max="2031" width="4.5703125" style="76" customWidth="1"/>
    <col min="2032" max="2032" width="17.28515625" style="76" customWidth="1"/>
    <col min="2033" max="2033" width="8.42578125" style="76" customWidth="1"/>
    <col min="2034" max="2034" width="15.5703125" style="76" customWidth="1"/>
    <col min="2035" max="2035" width="15.42578125" style="76" customWidth="1"/>
    <col min="2036" max="2037" width="13.5703125" style="76" customWidth="1"/>
    <col min="2038" max="2275" width="8.85546875" style="76"/>
    <col min="2276" max="2276" width="5.140625" style="76" customWidth="1"/>
    <col min="2277" max="2277" width="32" style="76" customWidth="1"/>
    <col min="2278" max="2278" width="12.42578125" style="76" customWidth="1"/>
    <col min="2279" max="2279" width="17.28515625" style="76" customWidth="1"/>
    <col min="2280" max="2280" width="4.28515625" style="76" customWidth="1"/>
    <col min="2281" max="2281" width="14.7109375" style="76" customWidth="1"/>
    <col min="2282" max="2282" width="4.5703125" style="76" customWidth="1"/>
    <col min="2283" max="2283" width="16" style="76" customWidth="1"/>
    <col min="2284" max="2284" width="4.5703125" style="76" customWidth="1"/>
    <col min="2285" max="2285" width="15.42578125" style="76" customWidth="1"/>
    <col min="2286" max="2286" width="25.140625" style="76" customWidth="1"/>
    <col min="2287" max="2287" width="4.5703125" style="76" customWidth="1"/>
    <col min="2288" max="2288" width="17.28515625" style="76" customWidth="1"/>
    <col min="2289" max="2289" width="8.42578125" style="76" customWidth="1"/>
    <col min="2290" max="2290" width="15.5703125" style="76" customWidth="1"/>
    <col min="2291" max="2291" width="15.42578125" style="76" customWidth="1"/>
    <col min="2292" max="2293" width="13.5703125" style="76" customWidth="1"/>
    <col min="2294" max="2531" width="8.85546875" style="76"/>
    <col min="2532" max="2532" width="5.140625" style="76" customWidth="1"/>
    <col min="2533" max="2533" width="32" style="76" customWidth="1"/>
    <col min="2534" max="2534" width="12.42578125" style="76" customWidth="1"/>
    <col min="2535" max="2535" width="17.28515625" style="76" customWidth="1"/>
    <col min="2536" max="2536" width="4.28515625" style="76" customWidth="1"/>
    <col min="2537" max="2537" width="14.7109375" style="76" customWidth="1"/>
    <col min="2538" max="2538" width="4.5703125" style="76" customWidth="1"/>
    <col min="2539" max="2539" width="16" style="76" customWidth="1"/>
    <col min="2540" max="2540" width="4.5703125" style="76" customWidth="1"/>
    <col min="2541" max="2541" width="15.42578125" style="76" customWidth="1"/>
    <col min="2542" max="2542" width="25.140625" style="76" customWidth="1"/>
    <col min="2543" max="2543" width="4.5703125" style="76" customWidth="1"/>
    <col min="2544" max="2544" width="17.28515625" style="76" customWidth="1"/>
    <col min="2545" max="2545" width="8.42578125" style="76" customWidth="1"/>
    <col min="2546" max="2546" width="15.5703125" style="76" customWidth="1"/>
    <col min="2547" max="2547" width="15.42578125" style="76" customWidth="1"/>
    <col min="2548" max="2549" width="13.5703125" style="76" customWidth="1"/>
    <col min="2550" max="2787" width="8.85546875" style="76"/>
    <col min="2788" max="2788" width="5.140625" style="76" customWidth="1"/>
    <col min="2789" max="2789" width="32" style="76" customWidth="1"/>
    <col min="2790" max="2790" width="12.42578125" style="76" customWidth="1"/>
    <col min="2791" max="2791" width="17.28515625" style="76" customWidth="1"/>
    <col min="2792" max="2792" width="4.28515625" style="76" customWidth="1"/>
    <col min="2793" max="2793" width="14.7109375" style="76" customWidth="1"/>
    <col min="2794" max="2794" width="4.5703125" style="76" customWidth="1"/>
    <col min="2795" max="2795" width="16" style="76" customWidth="1"/>
    <col min="2796" max="2796" width="4.5703125" style="76" customWidth="1"/>
    <col min="2797" max="2797" width="15.42578125" style="76" customWidth="1"/>
    <col min="2798" max="2798" width="25.140625" style="76" customWidth="1"/>
    <col min="2799" max="2799" width="4.5703125" style="76" customWidth="1"/>
    <col min="2800" max="2800" width="17.28515625" style="76" customWidth="1"/>
    <col min="2801" max="2801" width="8.42578125" style="76" customWidth="1"/>
    <col min="2802" max="2802" width="15.5703125" style="76" customWidth="1"/>
    <col min="2803" max="2803" width="15.42578125" style="76" customWidth="1"/>
    <col min="2804" max="2805" width="13.5703125" style="76" customWidth="1"/>
    <col min="2806" max="3043" width="8.85546875" style="76"/>
    <col min="3044" max="3044" width="5.140625" style="76" customWidth="1"/>
    <col min="3045" max="3045" width="32" style="76" customWidth="1"/>
    <col min="3046" max="3046" width="12.42578125" style="76" customWidth="1"/>
    <col min="3047" max="3047" width="17.28515625" style="76" customWidth="1"/>
    <col min="3048" max="3048" width="4.28515625" style="76" customWidth="1"/>
    <col min="3049" max="3049" width="14.7109375" style="76" customWidth="1"/>
    <col min="3050" max="3050" width="4.5703125" style="76" customWidth="1"/>
    <col min="3051" max="3051" width="16" style="76" customWidth="1"/>
    <col min="3052" max="3052" width="4.5703125" style="76" customWidth="1"/>
    <col min="3053" max="3053" width="15.42578125" style="76" customWidth="1"/>
    <col min="3054" max="3054" width="25.140625" style="76" customWidth="1"/>
    <col min="3055" max="3055" width="4.5703125" style="76" customWidth="1"/>
    <col min="3056" max="3056" width="17.28515625" style="76" customWidth="1"/>
    <col min="3057" max="3057" width="8.42578125" style="76" customWidth="1"/>
    <col min="3058" max="3058" width="15.5703125" style="76" customWidth="1"/>
    <col min="3059" max="3059" width="15.42578125" style="76" customWidth="1"/>
    <col min="3060" max="3061" width="13.5703125" style="76" customWidth="1"/>
    <col min="3062" max="3299" width="8.85546875" style="76"/>
    <col min="3300" max="3300" width="5.140625" style="76" customWidth="1"/>
    <col min="3301" max="3301" width="32" style="76" customWidth="1"/>
    <col min="3302" max="3302" width="12.42578125" style="76" customWidth="1"/>
    <col min="3303" max="3303" width="17.28515625" style="76" customWidth="1"/>
    <col min="3304" max="3304" width="4.28515625" style="76" customWidth="1"/>
    <col min="3305" max="3305" width="14.7109375" style="76" customWidth="1"/>
    <col min="3306" max="3306" width="4.5703125" style="76" customWidth="1"/>
    <col min="3307" max="3307" width="16" style="76" customWidth="1"/>
    <col min="3308" max="3308" width="4.5703125" style="76" customWidth="1"/>
    <col min="3309" max="3309" width="15.42578125" style="76" customWidth="1"/>
    <col min="3310" max="3310" width="25.140625" style="76" customWidth="1"/>
    <col min="3311" max="3311" width="4.5703125" style="76" customWidth="1"/>
    <col min="3312" max="3312" width="17.28515625" style="76" customWidth="1"/>
    <col min="3313" max="3313" width="8.42578125" style="76" customWidth="1"/>
    <col min="3314" max="3314" width="15.5703125" style="76" customWidth="1"/>
    <col min="3315" max="3315" width="15.42578125" style="76" customWidth="1"/>
    <col min="3316" max="3317" width="13.5703125" style="76" customWidth="1"/>
    <col min="3318" max="3555" width="8.85546875" style="76"/>
    <col min="3556" max="3556" width="5.140625" style="76" customWidth="1"/>
    <col min="3557" max="3557" width="32" style="76" customWidth="1"/>
    <col min="3558" max="3558" width="12.42578125" style="76" customWidth="1"/>
    <col min="3559" max="3559" width="17.28515625" style="76" customWidth="1"/>
    <col min="3560" max="3560" width="4.28515625" style="76" customWidth="1"/>
    <col min="3561" max="3561" width="14.7109375" style="76" customWidth="1"/>
    <col min="3562" max="3562" width="4.5703125" style="76" customWidth="1"/>
    <col min="3563" max="3563" width="16" style="76" customWidth="1"/>
    <col min="3564" max="3564" width="4.5703125" style="76" customWidth="1"/>
    <col min="3565" max="3565" width="15.42578125" style="76" customWidth="1"/>
    <col min="3566" max="3566" width="25.140625" style="76" customWidth="1"/>
    <col min="3567" max="3567" width="4.5703125" style="76" customWidth="1"/>
    <col min="3568" max="3568" width="17.28515625" style="76" customWidth="1"/>
    <col min="3569" max="3569" width="8.42578125" style="76" customWidth="1"/>
    <col min="3570" max="3570" width="15.5703125" style="76" customWidth="1"/>
    <col min="3571" max="3571" width="15.42578125" style="76" customWidth="1"/>
    <col min="3572" max="3573" width="13.5703125" style="76" customWidth="1"/>
    <col min="3574" max="3811" width="8.85546875" style="76"/>
    <col min="3812" max="3812" width="5.140625" style="76" customWidth="1"/>
    <col min="3813" max="3813" width="32" style="76" customWidth="1"/>
    <col min="3814" max="3814" width="12.42578125" style="76" customWidth="1"/>
    <col min="3815" max="3815" width="17.28515625" style="76" customWidth="1"/>
    <col min="3816" max="3816" width="4.28515625" style="76" customWidth="1"/>
    <col min="3817" max="3817" width="14.7109375" style="76" customWidth="1"/>
    <col min="3818" max="3818" width="4.5703125" style="76" customWidth="1"/>
    <col min="3819" max="3819" width="16" style="76" customWidth="1"/>
    <col min="3820" max="3820" width="4.5703125" style="76" customWidth="1"/>
    <col min="3821" max="3821" width="15.42578125" style="76" customWidth="1"/>
    <col min="3822" max="3822" width="25.140625" style="76" customWidth="1"/>
    <col min="3823" max="3823" width="4.5703125" style="76" customWidth="1"/>
    <col min="3824" max="3824" width="17.28515625" style="76" customWidth="1"/>
    <col min="3825" max="3825" width="8.42578125" style="76" customWidth="1"/>
    <col min="3826" max="3826" width="15.5703125" style="76" customWidth="1"/>
    <col min="3827" max="3827" width="15.42578125" style="76" customWidth="1"/>
    <col min="3828" max="3829" width="13.5703125" style="76" customWidth="1"/>
    <col min="3830" max="4067" width="8.85546875" style="76"/>
    <col min="4068" max="4068" width="5.140625" style="76" customWidth="1"/>
    <col min="4069" max="4069" width="32" style="76" customWidth="1"/>
    <col min="4070" max="4070" width="12.42578125" style="76" customWidth="1"/>
    <col min="4071" max="4071" width="17.28515625" style="76" customWidth="1"/>
    <col min="4072" max="4072" width="4.28515625" style="76" customWidth="1"/>
    <col min="4073" max="4073" width="14.7109375" style="76" customWidth="1"/>
    <col min="4074" max="4074" width="4.5703125" style="76" customWidth="1"/>
    <col min="4075" max="4075" width="16" style="76" customWidth="1"/>
    <col min="4076" max="4076" width="4.5703125" style="76" customWidth="1"/>
    <col min="4077" max="4077" width="15.42578125" style="76" customWidth="1"/>
    <col min="4078" max="4078" width="25.140625" style="76" customWidth="1"/>
    <col min="4079" max="4079" width="4.5703125" style="76" customWidth="1"/>
    <col min="4080" max="4080" width="17.28515625" style="76" customWidth="1"/>
    <col min="4081" max="4081" width="8.42578125" style="76" customWidth="1"/>
    <col min="4082" max="4082" width="15.5703125" style="76" customWidth="1"/>
    <col min="4083" max="4083" width="15.42578125" style="76" customWidth="1"/>
    <col min="4084" max="4085" width="13.5703125" style="76" customWidth="1"/>
    <col min="4086" max="4323" width="8.85546875" style="76"/>
    <col min="4324" max="4324" width="5.140625" style="76" customWidth="1"/>
    <col min="4325" max="4325" width="32" style="76" customWidth="1"/>
    <col min="4326" max="4326" width="12.42578125" style="76" customWidth="1"/>
    <col min="4327" max="4327" width="17.28515625" style="76" customWidth="1"/>
    <col min="4328" max="4328" width="4.28515625" style="76" customWidth="1"/>
    <col min="4329" max="4329" width="14.7109375" style="76" customWidth="1"/>
    <col min="4330" max="4330" width="4.5703125" style="76" customWidth="1"/>
    <col min="4331" max="4331" width="16" style="76" customWidth="1"/>
    <col min="4332" max="4332" width="4.5703125" style="76" customWidth="1"/>
    <col min="4333" max="4333" width="15.42578125" style="76" customWidth="1"/>
    <col min="4334" max="4334" width="25.140625" style="76" customWidth="1"/>
    <col min="4335" max="4335" width="4.5703125" style="76" customWidth="1"/>
    <col min="4336" max="4336" width="17.28515625" style="76" customWidth="1"/>
    <col min="4337" max="4337" width="8.42578125" style="76" customWidth="1"/>
    <col min="4338" max="4338" width="15.5703125" style="76" customWidth="1"/>
    <col min="4339" max="4339" width="15.42578125" style="76" customWidth="1"/>
    <col min="4340" max="4341" width="13.5703125" style="76" customWidth="1"/>
    <col min="4342" max="4579" width="8.85546875" style="76"/>
    <col min="4580" max="4580" width="5.140625" style="76" customWidth="1"/>
    <col min="4581" max="4581" width="32" style="76" customWidth="1"/>
    <col min="4582" max="4582" width="12.42578125" style="76" customWidth="1"/>
    <col min="4583" max="4583" width="17.28515625" style="76" customWidth="1"/>
    <col min="4584" max="4584" width="4.28515625" style="76" customWidth="1"/>
    <col min="4585" max="4585" width="14.7109375" style="76" customWidth="1"/>
    <col min="4586" max="4586" width="4.5703125" style="76" customWidth="1"/>
    <col min="4587" max="4587" width="16" style="76" customWidth="1"/>
    <col min="4588" max="4588" width="4.5703125" style="76" customWidth="1"/>
    <col min="4589" max="4589" width="15.42578125" style="76" customWidth="1"/>
    <col min="4590" max="4590" width="25.140625" style="76" customWidth="1"/>
    <col min="4591" max="4591" width="4.5703125" style="76" customWidth="1"/>
    <col min="4592" max="4592" width="17.28515625" style="76" customWidth="1"/>
    <col min="4593" max="4593" width="8.42578125" style="76" customWidth="1"/>
    <col min="4594" max="4594" width="15.5703125" style="76" customWidth="1"/>
    <col min="4595" max="4595" width="15.42578125" style="76" customWidth="1"/>
    <col min="4596" max="4597" width="13.5703125" style="76" customWidth="1"/>
    <col min="4598" max="4835" width="8.85546875" style="76"/>
    <col min="4836" max="4836" width="5.140625" style="76" customWidth="1"/>
    <col min="4837" max="4837" width="32" style="76" customWidth="1"/>
    <col min="4838" max="4838" width="12.42578125" style="76" customWidth="1"/>
    <col min="4839" max="4839" width="17.28515625" style="76" customWidth="1"/>
    <col min="4840" max="4840" width="4.28515625" style="76" customWidth="1"/>
    <col min="4841" max="4841" width="14.7109375" style="76" customWidth="1"/>
    <col min="4842" max="4842" width="4.5703125" style="76" customWidth="1"/>
    <col min="4843" max="4843" width="16" style="76" customWidth="1"/>
    <col min="4844" max="4844" width="4.5703125" style="76" customWidth="1"/>
    <col min="4845" max="4845" width="15.42578125" style="76" customWidth="1"/>
    <col min="4846" max="4846" width="25.140625" style="76" customWidth="1"/>
    <col min="4847" max="4847" width="4.5703125" style="76" customWidth="1"/>
    <col min="4848" max="4848" width="17.28515625" style="76" customWidth="1"/>
    <col min="4849" max="4849" width="8.42578125" style="76" customWidth="1"/>
    <col min="4850" max="4850" width="15.5703125" style="76" customWidth="1"/>
    <col min="4851" max="4851" width="15.42578125" style="76" customWidth="1"/>
    <col min="4852" max="4853" width="13.5703125" style="76" customWidth="1"/>
    <col min="4854" max="5091" width="8.85546875" style="76"/>
    <col min="5092" max="5092" width="5.140625" style="76" customWidth="1"/>
    <col min="5093" max="5093" width="32" style="76" customWidth="1"/>
    <col min="5094" max="5094" width="12.42578125" style="76" customWidth="1"/>
    <col min="5095" max="5095" width="17.28515625" style="76" customWidth="1"/>
    <col min="5096" max="5096" width="4.28515625" style="76" customWidth="1"/>
    <col min="5097" max="5097" width="14.7109375" style="76" customWidth="1"/>
    <col min="5098" max="5098" width="4.5703125" style="76" customWidth="1"/>
    <col min="5099" max="5099" width="16" style="76" customWidth="1"/>
    <col min="5100" max="5100" width="4.5703125" style="76" customWidth="1"/>
    <col min="5101" max="5101" width="15.42578125" style="76" customWidth="1"/>
    <col min="5102" max="5102" width="25.140625" style="76" customWidth="1"/>
    <col min="5103" max="5103" width="4.5703125" style="76" customWidth="1"/>
    <col min="5104" max="5104" width="17.28515625" style="76" customWidth="1"/>
    <col min="5105" max="5105" width="8.42578125" style="76" customWidth="1"/>
    <col min="5106" max="5106" width="15.5703125" style="76" customWidth="1"/>
    <col min="5107" max="5107" width="15.42578125" style="76" customWidth="1"/>
    <col min="5108" max="5109" width="13.5703125" style="76" customWidth="1"/>
    <col min="5110" max="5347" width="8.85546875" style="76"/>
    <col min="5348" max="5348" width="5.140625" style="76" customWidth="1"/>
    <col min="5349" max="5349" width="32" style="76" customWidth="1"/>
    <col min="5350" max="5350" width="12.42578125" style="76" customWidth="1"/>
    <col min="5351" max="5351" width="17.28515625" style="76" customWidth="1"/>
    <col min="5352" max="5352" width="4.28515625" style="76" customWidth="1"/>
    <col min="5353" max="5353" width="14.7109375" style="76" customWidth="1"/>
    <col min="5354" max="5354" width="4.5703125" style="76" customWidth="1"/>
    <col min="5355" max="5355" width="16" style="76" customWidth="1"/>
    <col min="5356" max="5356" width="4.5703125" style="76" customWidth="1"/>
    <col min="5357" max="5357" width="15.42578125" style="76" customWidth="1"/>
    <col min="5358" max="5358" width="25.140625" style="76" customWidth="1"/>
    <col min="5359" max="5359" width="4.5703125" style="76" customWidth="1"/>
    <col min="5360" max="5360" width="17.28515625" style="76" customWidth="1"/>
    <col min="5361" max="5361" width="8.42578125" style="76" customWidth="1"/>
    <col min="5362" max="5362" width="15.5703125" style="76" customWidth="1"/>
    <col min="5363" max="5363" width="15.42578125" style="76" customWidth="1"/>
    <col min="5364" max="5365" width="13.5703125" style="76" customWidth="1"/>
    <col min="5366" max="5603" width="8.85546875" style="76"/>
    <col min="5604" max="5604" width="5.140625" style="76" customWidth="1"/>
    <col min="5605" max="5605" width="32" style="76" customWidth="1"/>
    <col min="5606" max="5606" width="12.42578125" style="76" customWidth="1"/>
    <col min="5607" max="5607" width="17.28515625" style="76" customWidth="1"/>
    <col min="5608" max="5608" width="4.28515625" style="76" customWidth="1"/>
    <col min="5609" max="5609" width="14.7109375" style="76" customWidth="1"/>
    <col min="5610" max="5610" width="4.5703125" style="76" customWidth="1"/>
    <col min="5611" max="5611" width="16" style="76" customWidth="1"/>
    <col min="5612" max="5612" width="4.5703125" style="76" customWidth="1"/>
    <col min="5613" max="5613" width="15.42578125" style="76" customWidth="1"/>
    <col min="5614" max="5614" width="25.140625" style="76" customWidth="1"/>
    <col min="5615" max="5615" width="4.5703125" style="76" customWidth="1"/>
    <col min="5616" max="5616" width="17.28515625" style="76" customWidth="1"/>
    <col min="5617" max="5617" width="8.42578125" style="76" customWidth="1"/>
    <col min="5618" max="5618" width="15.5703125" style="76" customWidth="1"/>
    <col min="5619" max="5619" width="15.42578125" style="76" customWidth="1"/>
    <col min="5620" max="5621" width="13.5703125" style="76" customWidth="1"/>
    <col min="5622" max="5859" width="8.85546875" style="76"/>
    <col min="5860" max="5860" width="5.140625" style="76" customWidth="1"/>
    <col min="5861" max="5861" width="32" style="76" customWidth="1"/>
    <col min="5862" max="5862" width="12.42578125" style="76" customWidth="1"/>
    <col min="5863" max="5863" width="17.28515625" style="76" customWidth="1"/>
    <col min="5864" max="5864" width="4.28515625" style="76" customWidth="1"/>
    <col min="5865" max="5865" width="14.7109375" style="76" customWidth="1"/>
    <col min="5866" max="5866" width="4.5703125" style="76" customWidth="1"/>
    <col min="5867" max="5867" width="16" style="76" customWidth="1"/>
    <col min="5868" max="5868" width="4.5703125" style="76" customWidth="1"/>
    <col min="5869" max="5869" width="15.42578125" style="76" customWidth="1"/>
    <col min="5870" max="5870" width="25.140625" style="76" customWidth="1"/>
    <col min="5871" max="5871" width="4.5703125" style="76" customWidth="1"/>
    <col min="5872" max="5872" width="17.28515625" style="76" customWidth="1"/>
    <col min="5873" max="5873" width="8.42578125" style="76" customWidth="1"/>
    <col min="5874" max="5874" width="15.5703125" style="76" customWidth="1"/>
    <col min="5875" max="5875" width="15.42578125" style="76" customWidth="1"/>
    <col min="5876" max="5877" width="13.5703125" style="76" customWidth="1"/>
    <col min="5878" max="6115" width="8.85546875" style="76"/>
    <col min="6116" max="6116" width="5.140625" style="76" customWidth="1"/>
    <col min="6117" max="6117" width="32" style="76" customWidth="1"/>
    <col min="6118" max="6118" width="12.42578125" style="76" customWidth="1"/>
    <col min="6119" max="6119" width="17.28515625" style="76" customWidth="1"/>
    <col min="6120" max="6120" width="4.28515625" style="76" customWidth="1"/>
    <col min="6121" max="6121" width="14.7109375" style="76" customWidth="1"/>
    <col min="6122" max="6122" width="4.5703125" style="76" customWidth="1"/>
    <col min="6123" max="6123" width="16" style="76" customWidth="1"/>
    <col min="6124" max="6124" width="4.5703125" style="76" customWidth="1"/>
    <col min="6125" max="6125" width="15.42578125" style="76" customWidth="1"/>
    <col min="6126" max="6126" width="25.140625" style="76" customWidth="1"/>
    <col min="6127" max="6127" width="4.5703125" style="76" customWidth="1"/>
    <col min="6128" max="6128" width="17.28515625" style="76" customWidth="1"/>
    <col min="6129" max="6129" width="8.42578125" style="76" customWidth="1"/>
    <col min="6130" max="6130" width="15.5703125" style="76" customWidth="1"/>
    <col min="6131" max="6131" width="15.42578125" style="76" customWidth="1"/>
    <col min="6132" max="6133" width="13.5703125" style="76" customWidth="1"/>
    <col min="6134" max="6371" width="8.85546875" style="76"/>
    <col min="6372" max="6372" width="5.140625" style="76" customWidth="1"/>
    <col min="6373" max="6373" width="32" style="76" customWidth="1"/>
    <col min="6374" max="6374" width="12.42578125" style="76" customWidth="1"/>
    <col min="6375" max="6375" width="17.28515625" style="76" customWidth="1"/>
    <col min="6376" max="6376" width="4.28515625" style="76" customWidth="1"/>
    <col min="6377" max="6377" width="14.7109375" style="76" customWidth="1"/>
    <col min="6378" max="6378" width="4.5703125" style="76" customWidth="1"/>
    <col min="6379" max="6379" width="16" style="76" customWidth="1"/>
    <col min="6380" max="6380" width="4.5703125" style="76" customWidth="1"/>
    <col min="6381" max="6381" width="15.42578125" style="76" customWidth="1"/>
    <col min="6382" max="6382" width="25.140625" style="76" customWidth="1"/>
    <col min="6383" max="6383" width="4.5703125" style="76" customWidth="1"/>
    <col min="6384" max="6384" width="17.28515625" style="76" customWidth="1"/>
    <col min="6385" max="6385" width="8.42578125" style="76" customWidth="1"/>
    <col min="6386" max="6386" width="15.5703125" style="76" customWidth="1"/>
    <col min="6387" max="6387" width="15.42578125" style="76" customWidth="1"/>
    <col min="6388" max="6389" width="13.5703125" style="76" customWidth="1"/>
    <col min="6390" max="6627" width="8.85546875" style="76"/>
    <col min="6628" max="6628" width="5.140625" style="76" customWidth="1"/>
    <col min="6629" max="6629" width="32" style="76" customWidth="1"/>
    <col min="6630" max="6630" width="12.42578125" style="76" customWidth="1"/>
    <col min="6631" max="6631" width="17.28515625" style="76" customWidth="1"/>
    <col min="6632" max="6632" width="4.28515625" style="76" customWidth="1"/>
    <col min="6633" max="6633" width="14.7109375" style="76" customWidth="1"/>
    <col min="6634" max="6634" width="4.5703125" style="76" customWidth="1"/>
    <col min="6635" max="6635" width="16" style="76" customWidth="1"/>
    <col min="6636" max="6636" width="4.5703125" style="76" customWidth="1"/>
    <col min="6637" max="6637" width="15.42578125" style="76" customWidth="1"/>
    <col min="6638" max="6638" width="25.140625" style="76" customWidth="1"/>
    <col min="6639" max="6639" width="4.5703125" style="76" customWidth="1"/>
    <col min="6640" max="6640" width="17.28515625" style="76" customWidth="1"/>
    <col min="6641" max="6641" width="8.42578125" style="76" customWidth="1"/>
    <col min="6642" max="6642" width="15.5703125" style="76" customWidth="1"/>
    <col min="6643" max="6643" width="15.42578125" style="76" customWidth="1"/>
    <col min="6644" max="6645" width="13.5703125" style="76" customWidth="1"/>
    <col min="6646" max="6883" width="8.85546875" style="76"/>
    <col min="6884" max="6884" width="5.140625" style="76" customWidth="1"/>
    <col min="6885" max="6885" width="32" style="76" customWidth="1"/>
    <col min="6886" max="6886" width="12.42578125" style="76" customWidth="1"/>
    <col min="6887" max="6887" width="17.28515625" style="76" customWidth="1"/>
    <col min="6888" max="6888" width="4.28515625" style="76" customWidth="1"/>
    <col min="6889" max="6889" width="14.7109375" style="76" customWidth="1"/>
    <col min="6890" max="6890" width="4.5703125" style="76" customWidth="1"/>
    <col min="6891" max="6891" width="16" style="76" customWidth="1"/>
    <col min="6892" max="6892" width="4.5703125" style="76" customWidth="1"/>
    <col min="6893" max="6893" width="15.42578125" style="76" customWidth="1"/>
    <col min="6894" max="6894" width="25.140625" style="76" customWidth="1"/>
    <col min="6895" max="6895" width="4.5703125" style="76" customWidth="1"/>
    <col min="6896" max="6896" width="17.28515625" style="76" customWidth="1"/>
    <col min="6897" max="6897" width="8.42578125" style="76" customWidth="1"/>
    <col min="6898" max="6898" width="15.5703125" style="76" customWidth="1"/>
    <col min="6899" max="6899" width="15.42578125" style="76" customWidth="1"/>
    <col min="6900" max="6901" width="13.5703125" style="76" customWidth="1"/>
    <col min="6902" max="7139" width="8.85546875" style="76"/>
    <col min="7140" max="7140" width="5.140625" style="76" customWidth="1"/>
    <col min="7141" max="7141" width="32" style="76" customWidth="1"/>
    <col min="7142" max="7142" width="12.42578125" style="76" customWidth="1"/>
    <col min="7143" max="7143" width="17.28515625" style="76" customWidth="1"/>
    <col min="7144" max="7144" width="4.28515625" style="76" customWidth="1"/>
    <col min="7145" max="7145" width="14.7109375" style="76" customWidth="1"/>
    <col min="7146" max="7146" width="4.5703125" style="76" customWidth="1"/>
    <col min="7147" max="7147" width="16" style="76" customWidth="1"/>
    <col min="7148" max="7148" width="4.5703125" style="76" customWidth="1"/>
    <col min="7149" max="7149" width="15.42578125" style="76" customWidth="1"/>
    <col min="7150" max="7150" width="25.140625" style="76" customWidth="1"/>
    <col min="7151" max="7151" width="4.5703125" style="76" customWidth="1"/>
    <col min="7152" max="7152" width="17.28515625" style="76" customWidth="1"/>
    <col min="7153" max="7153" width="8.42578125" style="76" customWidth="1"/>
    <col min="7154" max="7154" width="15.5703125" style="76" customWidth="1"/>
    <col min="7155" max="7155" width="15.42578125" style="76" customWidth="1"/>
    <col min="7156" max="7157" width="13.5703125" style="76" customWidth="1"/>
    <col min="7158" max="7395" width="8.85546875" style="76"/>
    <col min="7396" max="7396" width="5.140625" style="76" customWidth="1"/>
    <col min="7397" max="7397" width="32" style="76" customWidth="1"/>
    <col min="7398" max="7398" width="12.42578125" style="76" customWidth="1"/>
    <col min="7399" max="7399" width="17.28515625" style="76" customWidth="1"/>
    <col min="7400" max="7400" width="4.28515625" style="76" customWidth="1"/>
    <col min="7401" max="7401" width="14.7109375" style="76" customWidth="1"/>
    <col min="7402" max="7402" width="4.5703125" style="76" customWidth="1"/>
    <col min="7403" max="7403" width="16" style="76" customWidth="1"/>
    <col min="7404" max="7404" width="4.5703125" style="76" customWidth="1"/>
    <col min="7405" max="7405" width="15.42578125" style="76" customWidth="1"/>
    <col min="7406" max="7406" width="25.140625" style="76" customWidth="1"/>
    <col min="7407" max="7407" width="4.5703125" style="76" customWidth="1"/>
    <col min="7408" max="7408" width="17.28515625" style="76" customWidth="1"/>
    <col min="7409" max="7409" width="8.42578125" style="76" customWidth="1"/>
    <col min="7410" max="7410" width="15.5703125" style="76" customWidth="1"/>
    <col min="7411" max="7411" width="15.42578125" style="76" customWidth="1"/>
    <col min="7412" max="7413" width="13.5703125" style="76" customWidth="1"/>
    <col min="7414" max="7651" width="8.85546875" style="76"/>
    <col min="7652" max="7652" width="5.140625" style="76" customWidth="1"/>
    <col min="7653" max="7653" width="32" style="76" customWidth="1"/>
    <col min="7654" max="7654" width="12.42578125" style="76" customWidth="1"/>
    <col min="7655" max="7655" width="17.28515625" style="76" customWidth="1"/>
    <col min="7656" max="7656" width="4.28515625" style="76" customWidth="1"/>
    <col min="7657" max="7657" width="14.7109375" style="76" customWidth="1"/>
    <col min="7658" max="7658" width="4.5703125" style="76" customWidth="1"/>
    <col min="7659" max="7659" width="16" style="76" customWidth="1"/>
    <col min="7660" max="7660" width="4.5703125" style="76" customWidth="1"/>
    <col min="7661" max="7661" width="15.42578125" style="76" customWidth="1"/>
    <col min="7662" max="7662" width="25.140625" style="76" customWidth="1"/>
    <col min="7663" max="7663" width="4.5703125" style="76" customWidth="1"/>
    <col min="7664" max="7664" width="17.28515625" style="76" customWidth="1"/>
    <col min="7665" max="7665" width="8.42578125" style="76" customWidth="1"/>
    <col min="7666" max="7666" width="15.5703125" style="76" customWidth="1"/>
    <col min="7667" max="7667" width="15.42578125" style="76" customWidth="1"/>
    <col min="7668" max="7669" width="13.5703125" style="76" customWidth="1"/>
    <col min="7670" max="7907" width="8.85546875" style="76"/>
    <col min="7908" max="7908" width="5.140625" style="76" customWidth="1"/>
    <col min="7909" max="7909" width="32" style="76" customWidth="1"/>
    <col min="7910" max="7910" width="12.42578125" style="76" customWidth="1"/>
    <col min="7911" max="7911" width="17.28515625" style="76" customWidth="1"/>
    <col min="7912" max="7912" width="4.28515625" style="76" customWidth="1"/>
    <col min="7913" max="7913" width="14.7109375" style="76" customWidth="1"/>
    <col min="7914" max="7914" width="4.5703125" style="76" customWidth="1"/>
    <col min="7915" max="7915" width="16" style="76" customWidth="1"/>
    <col min="7916" max="7916" width="4.5703125" style="76" customWidth="1"/>
    <col min="7917" max="7917" width="15.42578125" style="76" customWidth="1"/>
    <col min="7918" max="7918" width="25.140625" style="76" customWidth="1"/>
    <col min="7919" max="7919" width="4.5703125" style="76" customWidth="1"/>
    <col min="7920" max="7920" width="17.28515625" style="76" customWidth="1"/>
    <col min="7921" max="7921" width="8.42578125" style="76" customWidth="1"/>
    <col min="7922" max="7922" width="15.5703125" style="76" customWidth="1"/>
    <col min="7923" max="7923" width="15.42578125" style="76" customWidth="1"/>
    <col min="7924" max="7925" width="13.5703125" style="76" customWidth="1"/>
    <col min="7926" max="8163" width="8.85546875" style="76"/>
    <col min="8164" max="8164" width="5.140625" style="76" customWidth="1"/>
    <col min="8165" max="8165" width="32" style="76" customWidth="1"/>
    <col min="8166" max="8166" width="12.42578125" style="76" customWidth="1"/>
    <col min="8167" max="8167" width="17.28515625" style="76" customWidth="1"/>
    <col min="8168" max="8168" width="4.28515625" style="76" customWidth="1"/>
    <col min="8169" max="8169" width="14.7109375" style="76" customWidth="1"/>
    <col min="8170" max="8170" width="4.5703125" style="76" customWidth="1"/>
    <col min="8171" max="8171" width="16" style="76" customWidth="1"/>
    <col min="8172" max="8172" width="4.5703125" style="76" customWidth="1"/>
    <col min="8173" max="8173" width="15.42578125" style="76" customWidth="1"/>
    <col min="8174" max="8174" width="25.140625" style="76" customWidth="1"/>
    <col min="8175" max="8175" width="4.5703125" style="76" customWidth="1"/>
    <col min="8176" max="8176" width="17.28515625" style="76" customWidth="1"/>
    <col min="8177" max="8177" width="8.42578125" style="76" customWidth="1"/>
    <col min="8178" max="8178" width="15.5703125" style="76" customWidth="1"/>
    <col min="8179" max="8179" width="15.42578125" style="76" customWidth="1"/>
    <col min="8180" max="8181" width="13.5703125" style="76" customWidth="1"/>
    <col min="8182" max="8419" width="8.85546875" style="76"/>
    <col min="8420" max="8420" width="5.140625" style="76" customWidth="1"/>
    <col min="8421" max="8421" width="32" style="76" customWidth="1"/>
    <col min="8422" max="8422" width="12.42578125" style="76" customWidth="1"/>
    <col min="8423" max="8423" width="17.28515625" style="76" customWidth="1"/>
    <col min="8424" max="8424" width="4.28515625" style="76" customWidth="1"/>
    <col min="8425" max="8425" width="14.7109375" style="76" customWidth="1"/>
    <col min="8426" max="8426" width="4.5703125" style="76" customWidth="1"/>
    <col min="8427" max="8427" width="16" style="76" customWidth="1"/>
    <col min="8428" max="8428" width="4.5703125" style="76" customWidth="1"/>
    <col min="8429" max="8429" width="15.42578125" style="76" customWidth="1"/>
    <col min="8430" max="8430" width="25.140625" style="76" customWidth="1"/>
    <col min="8431" max="8431" width="4.5703125" style="76" customWidth="1"/>
    <col min="8432" max="8432" width="17.28515625" style="76" customWidth="1"/>
    <col min="8433" max="8433" width="8.42578125" style="76" customWidth="1"/>
    <col min="8434" max="8434" width="15.5703125" style="76" customWidth="1"/>
    <col min="8435" max="8435" width="15.42578125" style="76" customWidth="1"/>
    <col min="8436" max="8437" width="13.5703125" style="76" customWidth="1"/>
    <col min="8438" max="8675" width="8.85546875" style="76"/>
    <col min="8676" max="8676" width="5.140625" style="76" customWidth="1"/>
    <col min="8677" max="8677" width="32" style="76" customWidth="1"/>
    <col min="8678" max="8678" width="12.42578125" style="76" customWidth="1"/>
    <col min="8679" max="8679" width="17.28515625" style="76" customWidth="1"/>
    <col min="8680" max="8680" width="4.28515625" style="76" customWidth="1"/>
    <col min="8681" max="8681" width="14.7109375" style="76" customWidth="1"/>
    <col min="8682" max="8682" width="4.5703125" style="76" customWidth="1"/>
    <col min="8683" max="8683" width="16" style="76" customWidth="1"/>
    <col min="8684" max="8684" width="4.5703125" style="76" customWidth="1"/>
    <col min="8685" max="8685" width="15.42578125" style="76" customWidth="1"/>
    <col min="8686" max="8686" width="25.140625" style="76" customWidth="1"/>
    <col min="8687" max="8687" width="4.5703125" style="76" customWidth="1"/>
    <col min="8688" max="8688" width="17.28515625" style="76" customWidth="1"/>
    <col min="8689" max="8689" width="8.42578125" style="76" customWidth="1"/>
    <col min="8690" max="8690" width="15.5703125" style="76" customWidth="1"/>
    <col min="8691" max="8691" width="15.42578125" style="76" customWidth="1"/>
    <col min="8692" max="8693" width="13.5703125" style="76" customWidth="1"/>
    <col min="8694" max="8931" width="8.85546875" style="76"/>
    <col min="8932" max="8932" width="5.140625" style="76" customWidth="1"/>
    <col min="8933" max="8933" width="32" style="76" customWidth="1"/>
    <col min="8934" max="8934" width="12.42578125" style="76" customWidth="1"/>
    <col min="8935" max="8935" width="17.28515625" style="76" customWidth="1"/>
    <col min="8936" max="8936" width="4.28515625" style="76" customWidth="1"/>
    <col min="8937" max="8937" width="14.7109375" style="76" customWidth="1"/>
    <col min="8938" max="8938" width="4.5703125" style="76" customWidth="1"/>
    <col min="8939" max="8939" width="16" style="76" customWidth="1"/>
    <col min="8940" max="8940" width="4.5703125" style="76" customWidth="1"/>
    <col min="8941" max="8941" width="15.42578125" style="76" customWidth="1"/>
    <col min="8942" max="8942" width="25.140625" style="76" customWidth="1"/>
    <col min="8943" max="8943" width="4.5703125" style="76" customWidth="1"/>
    <col min="8944" max="8944" width="17.28515625" style="76" customWidth="1"/>
    <col min="8945" max="8945" width="8.42578125" style="76" customWidth="1"/>
    <col min="8946" max="8946" width="15.5703125" style="76" customWidth="1"/>
    <col min="8947" max="8947" width="15.42578125" style="76" customWidth="1"/>
    <col min="8948" max="8949" width="13.5703125" style="76" customWidth="1"/>
    <col min="8950" max="9187" width="8.85546875" style="76"/>
    <col min="9188" max="9188" width="5.140625" style="76" customWidth="1"/>
    <col min="9189" max="9189" width="32" style="76" customWidth="1"/>
    <col min="9190" max="9190" width="12.42578125" style="76" customWidth="1"/>
    <col min="9191" max="9191" width="17.28515625" style="76" customWidth="1"/>
    <col min="9192" max="9192" width="4.28515625" style="76" customWidth="1"/>
    <col min="9193" max="9193" width="14.7109375" style="76" customWidth="1"/>
    <col min="9194" max="9194" width="4.5703125" style="76" customWidth="1"/>
    <col min="9195" max="9195" width="16" style="76" customWidth="1"/>
    <col min="9196" max="9196" width="4.5703125" style="76" customWidth="1"/>
    <col min="9197" max="9197" width="15.42578125" style="76" customWidth="1"/>
    <col min="9198" max="9198" width="25.140625" style="76" customWidth="1"/>
    <col min="9199" max="9199" width="4.5703125" style="76" customWidth="1"/>
    <col min="9200" max="9200" width="17.28515625" style="76" customWidth="1"/>
    <col min="9201" max="9201" width="8.42578125" style="76" customWidth="1"/>
    <col min="9202" max="9202" width="15.5703125" style="76" customWidth="1"/>
    <col min="9203" max="9203" width="15.42578125" style="76" customWidth="1"/>
    <col min="9204" max="9205" width="13.5703125" style="76" customWidth="1"/>
    <col min="9206" max="9443" width="8.85546875" style="76"/>
    <col min="9444" max="9444" width="5.140625" style="76" customWidth="1"/>
    <col min="9445" max="9445" width="32" style="76" customWidth="1"/>
    <col min="9446" max="9446" width="12.42578125" style="76" customWidth="1"/>
    <col min="9447" max="9447" width="17.28515625" style="76" customWidth="1"/>
    <col min="9448" max="9448" width="4.28515625" style="76" customWidth="1"/>
    <col min="9449" max="9449" width="14.7109375" style="76" customWidth="1"/>
    <col min="9450" max="9450" width="4.5703125" style="76" customWidth="1"/>
    <col min="9451" max="9451" width="16" style="76" customWidth="1"/>
    <col min="9452" max="9452" width="4.5703125" style="76" customWidth="1"/>
    <col min="9453" max="9453" width="15.42578125" style="76" customWidth="1"/>
    <col min="9454" max="9454" width="25.140625" style="76" customWidth="1"/>
    <col min="9455" max="9455" width="4.5703125" style="76" customWidth="1"/>
    <col min="9456" max="9456" width="17.28515625" style="76" customWidth="1"/>
    <col min="9457" max="9457" width="8.42578125" style="76" customWidth="1"/>
    <col min="9458" max="9458" width="15.5703125" style="76" customWidth="1"/>
    <col min="9459" max="9459" width="15.42578125" style="76" customWidth="1"/>
    <col min="9460" max="9461" width="13.5703125" style="76" customWidth="1"/>
    <col min="9462" max="9699" width="8.85546875" style="76"/>
    <col min="9700" max="9700" width="5.140625" style="76" customWidth="1"/>
    <col min="9701" max="9701" width="32" style="76" customWidth="1"/>
    <col min="9702" max="9702" width="12.42578125" style="76" customWidth="1"/>
    <col min="9703" max="9703" width="17.28515625" style="76" customWidth="1"/>
    <col min="9704" max="9704" width="4.28515625" style="76" customWidth="1"/>
    <col min="9705" max="9705" width="14.7109375" style="76" customWidth="1"/>
    <col min="9706" max="9706" width="4.5703125" style="76" customWidth="1"/>
    <col min="9707" max="9707" width="16" style="76" customWidth="1"/>
    <col min="9708" max="9708" width="4.5703125" style="76" customWidth="1"/>
    <col min="9709" max="9709" width="15.42578125" style="76" customWidth="1"/>
    <col min="9710" max="9710" width="25.140625" style="76" customWidth="1"/>
    <col min="9711" max="9711" width="4.5703125" style="76" customWidth="1"/>
    <col min="9712" max="9712" width="17.28515625" style="76" customWidth="1"/>
    <col min="9713" max="9713" width="8.42578125" style="76" customWidth="1"/>
    <col min="9714" max="9714" width="15.5703125" style="76" customWidth="1"/>
    <col min="9715" max="9715" width="15.42578125" style="76" customWidth="1"/>
    <col min="9716" max="9717" width="13.5703125" style="76" customWidth="1"/>
    <col min="9718" max="9955" width="8.85546875" style="76"/>
    <col min="9956" max="9956" width="5.140625" style="76" customWidth="1"/>
    <col min="9957" max="9957" width="32" style="76" customWidth="1"/>
    <col min="9958" max="9958" width="12.42578125" style="76" customWidth="1"/>
    <col min="9959" max="9959" width="17.28515625" style="76" customWidth="1"/>
    <col min="9960" max="9960" width="4.28515625" style="76" customWidth="1"/>
    <col min="9961" max="9961" width="14.7109375" style="76" customWidth="1"/>
    <col min="9962" max="9962" width="4.5703125" style="76" customWidth="1"/>
    <col min="9963" max="9963" width="16" style="76" customWidth="1"/>
    <col min="9964" max="9964" width="4.5703125" style="76" customWidth="1"/>
    <col min="9965" max="9965" width="15.42578125" style="76" customWidth="1"/>
    <col min="9966" max="9966" width="25.140625" style="76" customWidth="1"/>
    <col min="9967" max="9967" width="4.5703125" style="76" customWidth="1"/>
    <col min="9968" max="9968" width="17.28515625" style="76" customWidth="1"/>
    <col min="9969" max="9969" width="8.42578125" style="76" customWidth="1"/>
    <col min="9970" max="9970" width="15.5703125" style="76" customWidth="1"/>
    <col min="9971" max="9971" width="15.42578125" style="76" customWidth="1"/>
    <col min="9972" max="9973" width="13.5703125" style="76" customWidth="1"/>
    <col min="9974" max="10211" width="8.85546875" style="76"/>
    <col min="10212" max="10212" width="5.140625" style="76" customWidth="1"/>
    <col min="10213" max="10213" width="32" style="76" customWidth="1"/>
    <col min="10214" max="10214" width="12.42578125" style="76" customWidth="1"/>
    <col min="10215" max="10215" width="17.28515625" style="76" customWidth="1"/>
    <col min="10216" max="10216" width="4.28515625" style="76" customWidth="1"/>
    <col min="10217" max="10217" width="14.7109375" style="76" customWidth="1"/>
    <col min="10218" max="10218" width="4.5703125" style="76" customWidth="1"/>
    <col min="10219" max="10219" width="16" style="76" customWidth="1"/>
    <col min="10220" max="10220" width="4.5703125" style="76" customWidth="1"/>
    <col min="10221" max="10221" width="15.42578125" style="76" customWidth="1"/>
    <col min="10222" max="10222" width="25.140625" style="76" customWidth="1"/>
    <col min="10223" max="10223" width="4.5703125" style="76" customWidth="1"/>
    <col min="10224" max="10224" width="17.28515625" style="76" customWidth="1"/>
    <col min="10225" max="10225" width="8.42578125" style="76" customWidth="1"/>
    <col min="10226" max="10226" width="15.5703125" style="76" customWidth="1"/>
    <col min="10227" max="10227" width="15.42578125" style="76" customWidth="1"/>
    <col min="10228" max="10229" width="13.5703125" style="76" customWidth="1"/>
    <col min="10230" max="10467" width="8.85546875" style="76"/>
    <col min="10468" max="10468" width="5.140625" style="76" customWidth="1"/>
    <col min="10469" max="10469" width="32" style="76" customWidth="1"/>
    <col min="10470" max="10470" width="12.42578125" style="76" customWidth="1"/>
    <col min="10471" max="10471" width="17.28515625" style="76" customWidth="1"/>
    <col min="10472" max="10472" width="4.28515625" style="76" customWidth="1"/>
    <col min="10473" max="10473" width="14.7109375" style="76" customWidth="1"/>
    <col min="10474" max="10474" width="4.5703125" style="76" customWidth="1"/>
    <col min="10475" max="10475" width="16" style="76" customWidth="1"/>
    <col min="10476" max="10476" width="4.5703125" style="76" customWidth="1"/>
    <col min="10477" max="10477" width="15.42578125" style="76" customWidth="1"/>
    <col min="10478" max="10478" width="25.140625" style="76" customWidth="1"/>
    <col min="10479" max="10479" width="4.5703125" style="76" customWidth="1"/>
    <col min="10480" max="10480" width="17.28515625" style="76" customWidth="1"/>
    <col min="10481" max="10481" width="8.42578125" style="76" customWidth="1"/>
    <col min="10482" max="10482" width="15.5703125" style="76" customWidth="1"/>
    <col min="10483" max="10483" width="15.42578125" style="76" customWidth="1"/>
    <col min="10484" max="10485" width="13.5703125" style="76" customWidth="1"/>
    <col min="10486" max="10723" width="8.85546875" style="76"/>
    <col min="10724" max="10724" width="5.140625" style="76" customWidth="1"/>
    <col min="10725" max="10725" width="32" style="76" customWidth="1"/>
    <col min="10726" max="10726" width="12.42578125" style="76" customWidth="1"/>
    <col min="10727" max="10727" width="17.28515625" style="76" customWidth="1"/>
    <col min="10728" max="10728" width="4.28515625" style="76" customWidth="1"/>
    <col min="10729" max="10729" width="14.7109375" style="76" customWidth="1"/>
    <col min="10730" max="10730" width="4.5703125" style="76" customWidth="1"/>
    <col min="10731" max="10731" width="16" style="76" customWidth="1"/>
    <col min="10732" max="10732" width="4.5703125" style="76" customWidth="1"/>
    <col min="10733" max="10733" width="15.42578125" style="76" customWidth="1"/>
    <col min="10734" max="10734" width="25.140625" style="76" customWidth="1"/>
    <col min="10735" max="10735" width="4.5703125" style="76" customWidth="1"/>
    <col min="10736" max="10736" width="17.28515625" style="76" customWidth="1"/>
    <col min="10737" max="10737" width="8.42578125" style="76" customWidth="1"/>
    <col min="10738" max="10738" width="15.5703125" style="76" customWidth="1"/>
    <col min="10739" max="10739" width="15.42578125" style="76" customWidth="1"/>
    <col min="10740" max="10741" width="13.5703125" style="76" customWidth="1"/>
    <col min="10742" max="10979" width="8.85546875" style="76"/>
    <col min="10980" max="10980" width="5.140625" style="76" customWidth="1"/>
    <col min="10981" max="10981" width="32" style="76" customWidth="1"/>
    <col min="10982" max="10982" width="12.42578125" style="76" customWidth="1"/>
    <col min="10983" max="10983" width="17.28515625" style="76" customWidth="1"/>
    <col min="10984" max="10984" width="4.28515625" style="76" customWidth="1"/>
    <col min="10985" max="10985" width="14.7109375" style="76" customWidth="1"/>
    <col min="10986" max="10986" width="4.5703125" style="76" customWidth="1"/>
    <col min="10987" max="10987" width="16" style="76" customWidth="1"/>
    <col min="10988" max="10988" width="4.5703125" style="76" customWidth="1"/>
    <col min="10989" max="10989" width="15.42578125" style="76" customWidth="1"/>
    <col min="10990" max="10990" width="25.140625" style="76" customWidth="1"/>
    <col min="10991" max="10991" width="4.5703125" style="76" customWidth="1"/>
    <col min="10992" max="10992" width="17.28515625" style="76" customWidth="1"/>
    <col min="10993" max="10993" width="8.42578125" style="76" customWidth="1"/>
    <col min="10994" max="10994" width="15.5703125" style="76" customWidth="1"/>
    <col min="10995" max="10995" width="15.42578125" style="76" customWidth="1"/>
    <col min="10996" max="10997" width="13.5703125" style="76" customWidth="1"/>
    <col min="10998" max="11235" width="8.85546875" style="76"/>
    <col min="11236" max="11236" width="5.140625" style="76" customWidth="1"/>
    <col min="11237" max="11237" width="32" style="76" customWidth="1"/>
    <col min="11238" max="11238" width="12.42578125" style="76" customWidth="1"/>
    <col min="11239" max="11239" width="17.28515625" style="76" customWidth="1"/>
    <col min="11240" max="11240" width="4.28515625" style="76" customWidth="1"/>
    <col min="11241" max="11241" width="14.7109375" style="76" customWidth="1"/>
    <col min="11242" max="11242" width="4.5703125" style="76" customWidth="1"/>
    <col min="11243" max="11243" width="16" style="76" customWidth="1"/>
    <col min="11244" max="11244" width="4.5703125" style="76" customWidth="1"/>
    <col min="11245" max="11245" width="15.42578125" style="76" customWidth="1"/>
    <col min="11246" max="11246" width="25.140625" style="76" customWidth="1"/>
    <col min="11247" max="11247" width="4.5703125" style="76" customWidth="1"/>
    <col min="11248" max="11248" width="17.28515625" style="76" customWidth="1"/>
    <col min="11249" max="11249" width="8.42578125" style="76" customWidth="1"/>
    <col min="11250" max="11250" width="15.5703125" style="76" customWidth="1"/>
    <col min="11251" max="11251" width="15.42578125" style="76" customWidth="1"/>
    <col min="11252" max="11253" width="13.5703125" style="76" customWidth="1"/>
    <col min="11254" max="11491" width="8.85546875" style="76"/>
    <col min="11492" max="11492" width="5.140625" style="76" customWidth="1"/>
    <col min="11493" max="11493" width="32" style="76" customWidth="1"/>
    <col min="11494" max="11494" width="12.42578125" style="76" customWidth="1"/>
    <col min="11495" max="11495" width="17.28515625" style="76" customWidth="1"/>
    <col min="11496" max="11496" width="4.28515625" style="76" customWidth="1"/>
    <col min="11497" max="11497" width="14.7109375" style="76" customWidth="1"/>
    <col min="11498" max="11498" width="4.5703125" style="76" customWidth="1"/>
    <col min="11499" max="11499" width="16" style="76" customWidth="1"/>
    <col min="11500" max="11500" width="4.5703125" style="76" customWidth="1"/>
    <col min="11501" max="11501" width="15.42578125" style="76" customWidth="1"/>
    <col min="11502" max="11502" width="25.140625" style="76" customWidth="1"/>
    <col min="11503" max="11503" width="4.5703125" style="76" customWidth="1"/>
    <col min="11504" max="11504" width="17.28515625" style="76" customWidth="1"/>
    <col min="11505" max="11505" width="8.42578125" style="76" customWidth="1"/>
    <col min="11506" max="11506" width="15.5703125" style="76" customWidth="1"/>
    <col min="11507" max="11507" width="15.42578125" style="76" customWidth="1"/>
    <col min="11508" max="11509" width="13.5703125" style="76" customWidth="1"/>
    <col min="11510" max="11747" width="8.85546875" style="76"/>
    <col min="11748" max="11748" width="5.140625" style="76" customWidth="1"/>
    <col min="11749" max="11749" width="32" style="76" customWidth="1"/>
    <col min="11750" max="11750" width="12.42578125" style="76" customWidth="1"/>
    <col min="11751" max="11751" width="17.28515625" style="76" customWidth="1"/>
    <col min="11752" max="11752" width="4.28515625" style="76" customWidth="1"/>
    <col min="11753" max="11753" width="14.7109375" style="76" customWidth="1"/>
    <col min="11754" max="11754" width="4.5703125" style="76" customWidth="1"/>
    <col min="11755" max="11755" width="16" style="76" customWidth="1"/>
    <col min="11756" max="11756" width="4.5703125" style="76" customWidth="1"/>
    <col min="11757" max="11757" width="15.42578125" style="76" customWidth="1"/>
    <col min="11758" max="11758" width="25.140625" style="76" customWidth="1"/>
    <col min="11759" max="11759" width="4.5703125" style="76" customWidth="1"/>
    <col min="11760" max="11760" width="17.28515625" style="76" customWidth="1"/>
    <col min="11761" max="11761" width="8.42578125" style="76" customWidth="1"/>
    <col min="11762" max="11762" width="15.5703125" style="76" customWidth="1"/>
    <col min="11763" max="11763" width="15.42578125" style="76" customWidth="1"/>
    <col min="11764" max="11765" width="13.5703125" style="76" customWidth="1"/>
    <col min="11766" max="12003" width="8.85546875" style="76"/>
    <col min="12004" max="12004" width="5.140625" style="76" customWidth="1"/>
    <col min="12005" max="12005" width="32" style="76" customWidth="1"/>
    <col min="12006" max="12006" width="12.42578125" style="76" customWidth="1"/>
    <col min="12007" max="12007" width="17.28515625" style="76" customWidth="1"/>
    <col min="12008" max="12008" width="4.28515625" style="76" customWidth="1"/>
    <col min="12009" max="12009" width="14.7109375" style="76" customWidth="1"/>
    <col min="12010" max="12010" width="4.5703125" style="76" customWidth="1"/>
    <col min="12011" max="12011" width="16" style="76" customWidth="1"/>
    <col min="12012" max="12012" width="4.5703125" style="76" customWidth="1"/>
    <col min="12013" max="12013" width="15.42578125" style="76" customWidth="1"/>
    <col min="12014" max="12014" width="25.140625" style="76" customWidth="1"/>
    <col min="12015" max="12015" width="4.5703125" style="76" customWidth="1"/>
    <col min="12016" max="12016" width="17.28515625" style="76" customWidth="1"/>
    <col min="12017" max="12017" width="8.42578125" style="76" customWidth="1"/>
    <col min="12018" max="12018" width="15.5703125" style="76" customWidth="1"/>
    <col min="12019" max="12019" width="15.42578125" style="76" customWidth="1"/>
    <col min="12020" max="12021" width="13.5703125" style="76" customWidth="1"/>
    <col min="12022" max="12259" width="8.85546875" style="76"/>
    <col min="12260" max="12260" width="5.140625" style="76" customWidth="1"/>
    <col min="12261" max="12261" width="32" style="76" customWidth="1"/>
    <col min="12262" max="12262" width="12.42578125" style="76" customWidth="1"/>
    <col min="12263" max="12263" width="17.28515625" style="76" customWidth="1"/>
    <col min="12264" max="12264" width="4.28515625" style="76" customWidth="1"/>
    <col min="12265" max="12265" width="14.7109375" style="76" customWidth="1"/>
    <col min="12266" max="12266" width="4.5703125" style="76" customWidth="1"/>
    <col min="12267" max="12267" width="16" style="76" customWidth="1"/>
    <col min="12268" max="12268" width="4.5703125" style="76" customWidth="1"/>
    <col min="12269" max="12269" width="15.42578125" style="76" customWidth="1"/>
    <col min="12270" max="12270" width="25.140625" style="76" customWidth="1"/>
    <col min="12271" max="12271" width="4.5703125" style="76" customWidth="1"/>
    <col min="12272" max="12272" width="17.28515625" style="76" customWidth="1"/>
    <col min="12273" max="12273" width="8.42578125" style="76" customWidth="1"/>
    <col min="12274" max="12274" width="15.5703125" style="76" customWidth="1"/>
    <col min="12275" max="12275" width="15.42578125" style="76" customWidth="1"/>
    <col min="12276" max="12277" width="13.5703125" style="76" customWidth="1"/>
    <col min="12278" max="12515" width="8.85546875" style="76"/>
    <col min="12516" max="12516" width="5.140625" style="76" customWidth="1"/>
    <col min="12517" max="12517" width="32" style="76" customWidth="1"/>
    <col min="12518" max="12518" width="12.42578125" style="76" customWidth="1"/>
    <col min="12519" max="12519" width="17.28515625" style="76" customWidth="1"/>
    <col min="12520" max="12520" width="4.28515625" style="76" customWidth="1"/>
    <col min="12521" max="12521" width="14.7109375" style="76" customWidth="1"/>
    <col min="12522" max="12522" width="4.5703125" style="76" customWidth="1"/>
    <col min="12523" max="12523" width="16" style="76" customWidth="1"/>
    <col min="12524" max="12524" width="4.5703125" style="76" customWidth="1"/>
    <col min="12525" max="12525" width="15.42578125" style="76" customWidth="1"/>
    <col min="12526" max="12526" width="25.140625" style="76" customWidth="1"/>
    <col min="12527" max="12527" width="4.5703125" style="76" customWidth="1"/>
    <col min="12528" max="12528" width="17.28515625" style="76" customWidth="1"/>
    <col min="12529" max="12529" width="8.42578125" style="76" customWidth="1"/>
    <col min="12530" max="12530" width="15.5703125" style="76" customWidth="1"/>
    <col min="12531" max="12531" width="15.42578125" style="76" customWidth="1"/>
    <col min="12532" max="12533" width="13.5703125" style="76" customWidth="1"/>
    <col min="12534" max="12771" width="8.85546875" style="76"/>
    <col min="12772" max="12772" width="5.140625" style="76" customWidth="1"/>
    <col min="12773" max="12773" width="32" style="76" customWidth="1"/>
    <col min="12774" max="12774" width="12.42578125" style="76" customWidth="1"/>
    <col min="12775" max="12775" width="17.28515625" style="76" customWidth="1"/>
    <col min="12776" max="12776" width="4.28515625" style="76" customWidth="1"/>
    <col min="12777" max="12777" width="14.7109375" style="76" customWidth="1"/>
    <col min="12778" max="12778" width="4.5703125" style="76" customWidth="1"/>
    <col min="12779" max="12779" width="16" style="76" customWidth="1"/>
    <col min="12780" max="12780" width="4.5703125" style="76" customWidth="1"/>
    <col min="12781" max="12781" width="15.42578125" style="76" customWidth="1"/>
    <col min="12782" max="12782" width="25.140625" style="76" customWidth="1"/>
    <col min="12783" max="12783" width="4.5703125" style="76" customWidth="1"/>
    <col min="12784" max="12784" width="17.28515625" style="76" customWidth="1"/>
    <col min="12785" max="12785" width="8.42578125" style="76" customWidth="1"/>
    <col min="12786" max="12786" width="15.5703125" style="76" customWidth="1"/>
    <col min="12787" max="12787" width="15.42578125" style="76" customWidth="1"/>
    <col min="12788" max="12789" width="13.5703125" style="76" customWidth="1"/>
    <col min="12790" max="13027" width="8.85546875" style="76"/>
    <col min="13028" max="13028" width="5.140625" style="76" customWidth="1"/>
    <col min="13029" max="13029" width="32" style="76" customWidth="1"/>
    <col min="13030" max="13030" width="12.42578125" style="76" customWidth="1"/>
    <col min="13031" max="13031" width="17.28515625" style="76" customWidth="1"/>
    <col min="13032" max="13032" width="4.28515625" style="76" customWidth="1"/>
    <col min="13033" max="13033" width="14.7109375" style="76" customWidth="1"/>
    <col min="13034" max="13034" width="4.5703125" style="76" customWidth="1"/>
    <col min="13035" max="13035" width="16" style="76" customWidth="1"/>
    <col min="13036" max="13036" width="4.5703125" style="76" customWidth="1"/>
    <col min="13037" max="13037" width="15.42578125" style="76" customWidth="1"/>
    <col min="13038" max="13038" width="25.140625" style="76" customWidth="1"/>
    <col min="13039" max="13039" width="4.5703125" style="76" customWidth="1"/>
    <col min="13040" max="13040" width="17.28515625" style="76" customWidth="1"/>
    <col min="13041" max="13041" width="8.42578125" style="76" customWidth="1"/>
    <col min="13042" max="13042" width="15.5703125" style="76" customWidth="1"/>
    <col min="13043" max="13043" width="15.42578125" style="76" customWidth="1"/>
    <col min="13044" max="13045" width="13.5703125" style="76" customWidth="1"/>
    <col min="13046" max="13283" width="8.85546875" style="76"/>
    <col min="13284" max="13284" width="5.140625" style="76" customWidth="1"/>
    <col min="13285" max="13285" width="32" style="76" customWidth="1"/>
    <col min="13286" max="13286" width="12.42578125" style="76" customWidth="1"/>
    <col min="13287" max="13287" width="17.28515625" style="76" customWidth="1"/>
    <col min="13288" max="13288" width="4.28515625" style="76" customWidth="1"/>
    <col min="13289" max="13289" width="14.7109375" style="76" customWidth="1"/>
    <col min="13290" max="13290" width="4.5703125" style="76" customWidth="1"/>
    <col min="13291" max="13291" width="16" style="76" customWidth="1"/>
    <col min="13292" max="13292" width="4.5703125" style="76" customWidth="1"/>
    <col min="13293" max="13293" width="15.42578125" style="76" customWidth="1"/>
    <col min="13294" max="13294" width="25.140625" style="76" customWidth="1"/>
    <col min="13295" max="13295" width="4.5703125" style="76" customWidth="1"/>
    <col min="13296" max="13296" width="17.28515625" style="76" customWidth="1"/>
    <col min="13297" max="13297" width="8.42578125" style="76" customWidth="1"/>
    <col min="13298" max="13298" width="15.5703125" style="76" customWidth="1"/>
    <col min="13299" max="13299" width="15.42578125" style="76" customWidth="1"/>
    <col min="13300" max="13301" width="13.5703125" style="76" customWidth="1"/>
    <col min="13302" max="13539" width="8.85546875" style="76"/>
    <col min="13540" max="13540" width="5.140625" style="76" customWidth="1"/>
    <col min="13541" max="13541" width="32" style="76" customWidth="1"/>
    <col min="13542" max="13542" width="12.42578125" style="76" customWidth="1"/>
    <col min="13543" max="13543" width="17.28515625" style="76" customWidth="1"/>
    <col min="13544" max="13544" width="4.28515625" style="76" customWidth="1"/>
    <col min="13545" max="13545" width="14.7109375" style="76" customWidth="1"/>
    <col min="13546" max="13546" width="4.5703125" style="76" customWidth="1"/>
    <col min="13547" max="13547" width="16" style="76" customWidth="1"/>
    <col min="13548" max="13548" width="4.5703125" style="76" customWidth="1"/>
    <col min="13549" max="13549" width="15.42578125" style="76" customWidth="1"/>
    <col min="13550" max="13550" width="25.140625" style="76" customWidth="1"/>
    <col min="13551" max="13551" width="4.5703125" style="76" customWidth="1"/>
    <col min="13552" max="13552" width="17.28515625" style="76" customWidth="1"/>
    <col min="13553" max="13553" width="8.42578125" style="76" customWidth="1"/>
    <col min="13554" max="13554" width="15.5703125" style="76" customWidth="1"/>
    <col min="13555" max="13555" width="15.42578125" style="76" customWidth="1"/>
    <col min="13556" max="13557" width="13.5703125" style="76" customWidth="1"/>
    <col min="13558" max="13795" width="8.85546875" style="76"/>
    <col min="13796" max="13796" width="5.140625" style="76" customWidth="1"/>
    <col min="13797" max="13797" width="32" style="76" customWidth="1"/>
    <col min="13798" max="13798" width="12.42578125" style="76" customWidth="1"/>
    <col min="13799" max="13799" width="17.28515625" style="76" customWidth="1"/>
    <col min="13800" max="13800" width="4.28515625" style="76" customWidth="1"/>
    <col min="13801" max="13801" width="14.7109375" style="76" customWidth="1"/>
    <col min="13802" max="13802" width="4.5703125" style="76" customWidth="1"/>
    <col min="13803" max="13803" width="16" style="76" customWidth="1"/>
    <col min="13804" max="13804" width="4.5703125" style="76" customWidth="1"/>
    <col min="13805" max="13805" width="15.42578125" style="76" customWidth="1"/>
    <col min="13806" max="13806" width="25.140625" style="76" customWidth="1"/>
    <col min="13807" max="13807" width="4.5703125" style="76" customWidth="1"/>
    <col min="13808" max="13808" width="17.28515625" style="76" customWidth="1"/>
    <col min="13809" max="13809" width="8.42578125" style="76" customWidth="1"/>
    <col min="13810" max="13810" width="15.5703125" style="76" customWidth="1"/>
    <col min="13811" max="13811" width="15.42578125" style="76" customWidth="1"/>
    <col min="13812" max="13813" width="13.5703125" style="76" customWidth="1"/>
    <col min="13814" max="14051" width="8.85546875" style="76"/>
    <col min="14052" max="14052" width="5.140625" style="76" customWidth="1"/>
    <col min="14053" max="14053" width="32" style="76" customWidth="1"/>
    <col min="14054" max="14054" width="12.42578125" style="76" customWidth="1"/>
    <col min="14055" max="14055" width="17.28515625" style="76" customWidth="1"/>
    <col min="14056" max="14056" width="4.28515625" style="76" customWidth="1"/>
    <col min="14057" max="14057" width="14.7109375" style="76" customWidth="1"/>
    <col min="14058" max="14058" width="4.5703125" style="76" customWidth="1"/>
    <col min="14059" max="14059" width="16" style="76" customWidth="1"/>
    <col min="14060" max="14060" width="4.5703125" style="76" customWidth="1"/>
    <col min="14061" max="14061" width="15.42578125" style="76" customWidth="1"/>
    <col min="14062" max="14062" width="25.140625" style="76" customWidth="1"/>
    <col min="14063" max="14063" width="4.5703125" style="76" customWidth="1"/>
    <col min="14064" max="14064" width="17.28515625" style="76" customWidth="1"/>
    <col min="14065" max="14065" width="8.42578125" style="76" customWidth="1"/>
    <col min="14066" max="14066" width="15.5703125" style="76" customWidth="1"/>
    <col min="14067" max="14067" width="15.42578125" style="76" customWidth="1"/>
    <col min="14068" max="14069" width="13.5703125" style="76" customWidth="1"/>
    <col min="14070" max="14307" width="8.85546875" style="76"/>
    <col min="14308" max="14308" width="5.140625" style="76" customWidth="1"/>
    <col min="14309" max="14309" width="32" style="76" customWidth="1"/>
    <col min="14310" max="14310" width="12.42578125" style="76" customWidth="1"/>
    <col min="14311" max="14311" width="17.28515625" style="76" customWidth="1"/>
    <col min="14312" max="14312" width="4.28515625" style="76" customWidth="1"/>
    <col min="14313" max="14313" width="14.7109375" style="76" customWidth="1"/>
    <col min="14314" max="14314" width="4.5703125" style="76" customWidth="1"/>
    <col min="14315" max="14315" width="16" style="76" customWidth="1"/>
    <col min="14316" max="14316" width="4.5703125" style="76" customWidth="1"/>
    <col min="14317" max="14317" width="15.42578125" style="76" customWidth="1"/>
    <col min="14318" max="14318" width="25.140625" style="76" customWidth="1"/>
    <col min="14319" max="14319" width="4.5703125" style="76" customWidth="1"/>
    <col min="14320" max="14320" width="17.28515625" style="76" customWidth="1"/>
    <col min="14321" max="14321" width="8.42578125" style="76" customWidth="1"/>
    <col min="14322" max="14322" width="15.5703125" style="76" customWidth="1"/>
    <col min="14323" max="14323" width="15.42578125" style="76" customWidth="1"/>
    <col min="14324" max="14325" width="13.5703125" style="76" customWidth="1"/>
    <col min="14326" max="14563" width="8.85546875" style="76"/>
    <col min="14564" max="14564" width="5.140625" style="76" customWidth="1"/>
    <col min="14565" max="14565" width="32" style="76" customWidth="1"/>
    <col min="14566" max="14566" width="12.42578125" style="76" customWidth="1"/>
    <col min="14567" max="14567" width="17.28515625" style="76" customWidth="1"/>
    <col min="14568" max="14568" width="4.28515625" style="76" customWidth="1"/>
    <col min="14569" max="14569" width="14.7109375" style="76" customWidth="1"/>
    <col min="14570" max="14570" width="4.5703125" style="76" customWidth="1"/>
    <col min="14571" max="14571" width="16" style="76" customWidth="1"/>
    <col min="14572" max="14572" width="4.5703125" style="76" customWidth="1"/>
    <col min="14573" max="14573" width="15.42578125" style="76" customWidth="1"/>
    <col min="14574" max="14574" width="25.140625" style="76" customWidth="1"/>
    <col min="14575" max="14575" width="4.5703125" style="76" customWidth="1"/>
    <col min="14576" max="14576" width="17.28515625" style="76" customWidth="1"/>
    <col min="14577" max="14577" width="8.42578125" style="76" customWidth="1"/>
    <col min="14578" max="14578" width="15.5703125" style="76" customWidth="1"/>
    <col min="14579" max="14579" width="15.42578125" style="76" customWidth="1"/>
    <col min="14580" max="14581" width="13.5703125" style="76" customWidth="1"/>
    <col min="14582" max="14819" width="8.85546875" style="76"/>
    <col min="14820" max="14820" width="5.140625" style="76" customWidth="1"/>
    <col min="14821" max="14821" width="32" style="76" customWidth="1"/>
    <col min="14822" max="14822" width="12.42578125" style="76" customWidth="1"/>
    <col min="14823" max="14823" width="17.28515625" style="76" customWidth="1"/>
    <col min="14824" max="14824" width="4.28515625" style="76" customWidth="1"/>
    <col min="14825" max="14825" width="14.7109375" style="76" customWidth="1"/>
    <col min="14826" max="14826" width="4.5703125" style="76" customWidth="1"/>
    <col min="14827" max="14827" width="16" style="76" customWidth="1"/>
    <col min="14828" max="14828" width="4.5703125" style="76" customWidth="1"/>
    <col min="14829" max="14829" width="15.42578125" style="76" customWidth="1"/>
    <col min="14830" max="14830" width="25.140625" style="76" customWidth="1"/>
    <col min="14831" max="14831" width="4.5703125" style="76" customWidth="1"/>
    <col min="14832" max="14832" width="17.28515625" style="76" customWidth="1"/>
    <col min="14833" max="14833" width="8.42578125" style="76" customWidth="1"/>
    <col min="14834" max="14834" width="15.5703125" style="76" customWidth="1"/>
    <col min="14835" max="14835" width="15.42578125" style="76" customWidth="1"/>
    <col min="14836" max="14837" width="13.5703125" style="76" customWidth="1"/>
    <col min="14838" max="15075" width="8.85546875" style="76"/>
    <col min="15076" max="15076" width="5.140625" style="76" customWidth="1"/>
    <col min="15077" max="15077" width="32" style="76" customWidth="1"/>
    <col min="15078" max="15078" width="12.42578125" style="76" customWidth="1"/>
    <col min="15079" max="15079" width="17.28515625" style="76" customWidth="1"/>
    <col min="15080" max="15080" width="4.28515625" style="76" customWidth="1"/>
    <col min="15081" max="15081" width="14.7109375" style="76" customWidth="1"/>
    <col min="15082" max="15082" width="4.5703125" style="76" customWidth="1"/>
    <col min="15083" max="15083" width="16" style="76" customWidth="1"/>
    <col min="15084" max="15084" width="4.5703125" style="76" customWidth="1"/>
    <col min="15085" max="15085" width="15.42578125" style="76" customWidth="1"/>
    <col min="15086" max="15086" width="25.140625" style="76" customWidth="1"/>
    <col min="15087" max="15087" width="4.5703125" style="76" customWidth="1"/>
    <col min="15088" max="15088" width="17.28515625" style="76" customWidth="1"/>
    <col min="15089" max="15089" width="8.42578125" style="76" customWidth="1"/>
    <col min="15090" max="15090" width="15.5703125" style="76" customWidth="1"/>
    <col min="15091" max="15091" width="15.42578125" style="76" customWidth="1"/>
    <col min="15092" max="15093" width="13.5703125" style="76" customWidth="1"/>
    <col min="15094" max="15331" width="8.85546875" style="76"/>
    <col min="15332" max="15332" width="5.140625" style="76" customWidth="1"/>
    <col min="15333" max="15333" width="32" style="76" customWidth="1"/>
    <col min="15334" max="15334" width="12.42578125" style="76" customWidth="1"/>
    <col min="15335" max="15335" width="17.28515625" style="76" customWidth="1"/>
    <col min="15336" max="15336" width="4.28515625" style="76" customWidth="1"/>
    <col min="15337" max="15337" width="14.7109375" style="76" customWidth="1"/>
    <col min="15338" max="15338" width="4.5703125" style="76" customWidth="1"/>
    <col min="15339" max="15339" width="16" style="76" customWidth="1"/>
    <col min="15340" max="15340" width="4.5703125" style="76" customWidth="1"/>
    <col min="15341" max="15341" width="15.42578125" style="76" customWidth="1"/>
    <col min="15342" max="15342" width="25.140625" style="76" customWidth="1"/>
    <col min="15343" max="15343" width="4.5703125" style="76" customWidth="1"/>
    <col min="15344" max="15344" width="17.28515625" style="76" customWidth="1"/>
    <col min="15345" max="15345" width="8.42578125" style="76" customWidth="1"/>
    <col min="15346" max="15346" width="15.5703125" style="76" customWidth="1"/>
    <col min="15347" max="15347" width="15.42578125" style="76" customWidth="1"/>
    <col min="15348" max="15349" width="13.5703125" style="76" customWidth="1"/>
    <col min="15350" max="15587" width="8.85546875" style="76"/>
    <col min="15588" max="15588" width="5.140625" style="76" customWidth="1"/>
    <col min="15589" max="15589" width="32" style="76" customWidth="1"/>
    <col min="15590" max="15590" width="12.42578125" style="76" customWidth="1"/>
    <col min="15591" max="15591" width="17.28515625" style="76" customWidth="1"/>
    <col min="15592" max="15592" width="4.28515625" style="76" customWidth="1"/>
    <col min="15593" max="15593" width="14.7109375" style="76" customWidth="1"/>
    <col min="15594" max="15594" width="4.5703125" style="76" customWidth="1"/>
    <col min="15595" max="15595" width="16" style="76" customWidth="1"/>
    <col min="15596" max="15596" width="4.5703125" style="76" customWidth="1"/>
    <col min="15597" max="15597" width="15.42578125" style="76" customWidth="1"/>
    <col min="15598" max="15598" width="25.140625" style="76" customWidth="1"/>
    <col min="15599" max="15599" width="4.5703125" style="76" customWidth="1"/>
    <col min="15600" max="15600" width="17.28515625" style="76" customWidth="1"/>
    <col min="15601" max="15601" width="8.42578125" style="76" customWidth="1"/>
    <col min="15602" max="15602" width="15.5703125" style="76" customWidth="1"/>
    <col min="15603" max="15603" width="15.42578125" style="76" customWidth="1"/>
    <col min="15604" max="15605" width="13.5703125" style="76" customWidth="1"/>
    <col min="15606" max="15843" width="8.85546875" style="76"/>
    <col min="15844" max="15844" width="5.140625" style="76" customWidth="1"/>
    <col min="15845" max="15845" width="32" style="76" customWidth="1"/>
    <col min="15846" max="15846" width="12.42578125" style="76" customWidth="1"/>
    <col min="15847" max="15847" width="17.28515625" style="76" customWidth="1"/>
    <col min="15848" max="15848" width="4.28515625" style="76" customWidth="1"/>
    <col min="15849" max="15849" width="14.7109375" style="76" customWidth="1"/>
    <col min="15850" max="15850" width="4.5703125" style="76" customWidth="1"/>
    <col min="15851" max="15851" width="16" style="76" customWidth="1"/>
    <col min="15852" max="15852" width="4.5703125" style="76" customWidth="1"/>
    <col min="15853" max="15853" width="15.42578125" style="76" customWidth="1"/>
    <col min="15854" max="15854" width="25.140625" style="76" customWidth="1"/>
    <col min="15855" max="15855" width="4.5703125" style="76" customWidth="1"/>
    <col min="15856" max="15856" width="17.28515625" style="76" customWidth="1"/>
    <col min="15857" max="15857" width="8.42578125" style="76" customWidth="1"/>
    <col min="15858" max="15858" width="15.5703125" style="76" customWidth="1"/>
    <col min="15859" max="15859" width="15.42578125" style="76" customWidth="1"/>
    <col min="15860" max="15861" width="13.5703125" style="76" customWidth="1"/>
    <col min="15862" max="16099" width="8.85546875" style="76"/>
    <col min="16100" max="16100" width="5.140625" style="76" customWidth="1"/>
    <col min="16101" max="16101" width="32" style="76" customWidth="1"/>
    <col min="16102" max="16102" width="12.42578125" style="76" customWidth="1"/>
    <col min="16103" max="16103" width="17.28515625" style="76" customWidth="1"/>
    <col min="16104" max="16104" width="4.28515625" style="76" customWidth="1"/>
    <col min="16105" max="16105" width="14.7109375" style="76" customWidth="1"/>
    <col min="16106" max="16106" width="4.5703125" style="76" customWidth="1"/>
    <col min="16107" max="16107" width="16" style="76" customWidth="1"/>
    <col min="16108" max="16108" width="4.5703125" style="76" customWidth="1"/>
    <col min="16109" max="16109" width="15.42578125" style="76" customWidth="1"/>
    <col min="16110" max="16110" width="25.140625" style="76" customWidth="1"/>
    <col min="16111" max="16111" width="4.5703125" style="76" customWidth="1"/>
    <col min="16112" max="16112" width="17.28515625" style="76" customWidth="1"/>
    <col min="16113" max="16113" width="8.42578125" style="76" customWidth="1"/>
    <col min="16114" max="16114" width="15.5703125" style="76" customWidth="1"/>
    <col min="16115" max="16115" width="15.42578125" style="76" customWidth="1"/>
    <col min="16116" max="16117" width="13.5703125" style="76" customWidth="1"/>
    <col min="16118" max="16352" width="8.85546875" style="76"/>
    <col min="16353" max="16384" width="9.140625" style="76" customWidth="1"/>
  </cols>
  <sheetData>
    <row r="1" spans="1:30" ht="15.75" x14ac:dyDescent="0.25">
      <c r="A1" s="76">
        <f>MATCH("TOTAL FP",B:B,0)</f>
        <v>60</v>
      </c>
      <c r="B1" s="99" t="s">
        <v>83</v>
      </c>
      <c r="C1" s="99"/>
      <c r="D1" s="99"/>
      <c r="E1" s="101"/>
      <c r="F1" s="99"/>
      <c r="G1" s="161"/>
      <c r="H1" s="100"/>
      <c r="I1" s="323">
        <v>44166</v>
      </c>
      <c r="J1" s="101"/>
      <c r="K1" s="102"/>
      <c r="L1" s="188"/>
      <c r="O1" s="396"/>
      <c r="Q1" s="396"/>
    </row>
    <row r="2" spans="1:30" x14ac:dyDescent="0.2">
      <c r="A2" s="76">
        <f>MATCH("TOTAL LP",B:B,0)</f>
        <v>77</v>
      </c>
      <c r="B2" s="99"/>
      <c r="C2" s="99"/>
      <c r="D2" s="99"/>
      <c r="E2" s="101"/>
      <c r="F2" s="99"/>
      <c r="G2" s="161"/>
      <c r="H2" s="99"/>
      <c r="I2" s="101"/>
      <c r="J2" s="107"/>
      <c r="K2" s="103"/>
      <c r="L2" s="188"/>
    </row>
    <row r="3" spans="1:30" ht="47.25" customHeight="1" x14ac:dyDescent="0.2">
      <c r="B3" s="359" t="s">
        <v>0</v>
      </c>
      <c r="C3" s="359" t="s">
        <v>150</v>
      </c>
      <c r="D3" s="359" t="s">
        <v>123</v>
      </c>
      <c r="E3" s="360" t="str">
        <f>B3</f>
        <v>PLANT</v>
      </c>
      <c r="F3" s="361" t="s">
        <v>96</v>
      </c>
      <c r="G3" s="360" t="s">
        <v>108</v>
      </c>
      <c r="H3" s="360" t="s">
        <v>2</v>
      </c>
      <c r="I3" s="360" t="s">
        <v>3</v>
      </c>
      <c r="J3" s="360" t="s">
        <v>75</v>
      </c>
      <c r="K3" s="361" t="s">
        <v>149</v>
      </c>
      <c r="L3" s="362" t="s">
        <v>4</v>
      </c>
      <c r="M3" s="76" t="s">
        <v>341</v>
      </c>
      <c r="N3" s="253" t="s">
        <v>447</v>
      </c>
      <c r="O3" s="254" t="s">
        <v>342</v>
      </c>
      <c r="P3" s="255" t="s">
        <v>400</v>
      </c>
      <c r="Q3" s="254" t="s">
        <v>343</v>
      </c>
      <c r="R3" s="77"/>
      <c r="T3" s="77"/>
    </row>
    <row r="4" spans="1:30" x14ac:dyDescent="0.2">
      <c r="B4" s="112">
        <v>1111</v>
      </c>
      <c r="C4" s="164">
        <v>16037</v>
      </c>
      <c r="D4" s="72">
        <v>43281</v>
      </c>
      <c r="E4" s="174" t="s">
        <v>95</v>
      </c>
      <c r="F4" s="72">
        <v>42277</v>
      </c>
      <c r="G4" s="33">
        <v>-18429457.120000087</v>
      </c>
      <c r="H4" s="186">
        <v>2222.498000000001</v>
      </c>
      <c r="I4" s="33">
        <v>650.22381990243969</v>
      </c>
      <c r="J4" s="358">
        <f t="shared" ref="J4:J35" si="0">H4*I4</f>
        <v>1445121.139285533</v>
      </c>
      <c r="K4" s="119">
        <f>_xlfn.IFNA(VLOOKUP("TOTAL OS 1111",Working!B:G,2,FALSE),0)</f>
        <v>19589478.392000001</v>
      </c>
      <c r="L4" s="169">
        <f t="shared" ref="L4:L35" si="1">G4+J4+K4</f>
        <v>2605142.4112854488</v>
      </c>
      <c r="M4" s="397">
        <f>L4/10^7</f>
        <v>0.26051424112854488</v>
      </c>
      <c r="N4" s="314">
        <v>661.81901092567898</v>
      </c>
      <c r="O4" s="298">
        <f t="shared" ref="O4:O55" si="2">+I4-N4</f>
        <v>-11.595191023239295</v>
      </c>
      <c r="P4" s="303">
        <v>-13494112.540752776</v>
      </c>
      <c r="Q4" s="298">
        <f t="shared" ref="Q4:Q54" si="3">+(P4-L4)/10^7</f>
        <v>-1.6099254952038224</v>
      </c>
      <c r="R4" s="256"/>
      <c r="T4" s="77"/>
    </row>
    <row r="5" spans="1:30" x14ac:dyDescent="0.2">
      <c r="B5" s="151">
        <v>1161</v>
      </c>
      <c r="C5" s="164">
        <v>16037</v>
      </c>
      <c r="D5" s="72">
        <v>43190</v>
      </c>
      <c r="E5" s="41" t="s">
        <v>58</v>
      </c>
      <c r="F5" s="72">
        <v>42277</v>
      </c>
      <c r="G5" s="33">
        <v>0</v>
      </c>
      <c r="H5" s="186">
        <v>0</v>
      </c>
      <c r="I5" s="33">
        <v>0</v>
      </c>
      <c r="J5" s="358">
        <f t="shared" si="0"/>
        <v>0</v>
      </c>
      <c r="K5" s="119">
        <f>_xlfn.IFNA(VLOOKUP("TOTAL OS 1161",Working!B:G,2,FALSE),0)</f>
        <v>0</v>
      </c>
      <c r="L5" s="169">
        <f t="shared" si="1"/>
        <v>0</v>
      </c>
      <c r="M5" s="396">
        <f t="shared" ref="M5:M78" si="4">L5/10^7</f>
        <v>0</v>
      </c>
      <c r="N5" s="314">
        <v>0</v>
      </c>
      <c r="O5" s="298">
        <f t="shared" si="2"/>
        <v>0</v>
      </c>
      <c r="P5" s="303">
        <v>0</v>
      </c>
      <c r="Q5" s="298">
        <f t="shared" si="3"/>
        <v>0</v>
      </c>
      <c r="R5" s="256"/>
      <c r="T5" s="315"/>
      <c r="AD5" s="94"/>
    </row>
    <row r="6" spans="1:30" x14ac:dyDescent="0.2">
      <c r="B6" s="151">
        <v>1162</v>
      </c>
      <c r="C6" s="164">
        <v>16037</v>
      </c>
      <c r="D6" s="72">
        <v>43190</v>
      </c>
      <c r="E6" s="41" t="s">
        <v>61</v>
      </c>
      <c r="F6" s="72">
        <v>42277</v>
      </c>
      <c r="G6" s="33">
        <v>148220.87000000002</v>
      </c>
      <c r="H6" s="186">
        <v>0</v>
      </c>
      <c r="I6" s="33">
        <v>0</v>
      </c>
      <c r="J6" s="358">
        <f t="shared" si="0"/>
        <v>0</v>
      </c>
      <c r="K6" s="119">
        <f>_xlfn.IFNA(VLOOKUP("TOTAL OS 1162",Working!B:G,2,FALSE),0)</f>
        <v>0</v>
      </c>
      <c r="L6" s="169">
        <f t="shared" si="1"/>
        <v>148220.87000000002</v>
      </c>
      <c r="M6" s="396">
        <f t="shared" si="4"/>
        <v>1.4822087000000003E-2</v>
      </c>
      <c r="N6" s="314">
        <v>0</v>
      </c>
      <c r="O6" s="298">
        <f t="shared" si="2"/>
        <v>0</v>
      </c>
      <c r="P6" s="303">
        <v>148220.87000000002</v>
      </c>
      <c r="Q6" s="298">
        <f t="shared" si="3"/>
        <v>0</v>
      </c>
      <c r="R6" s="256"/>
      <c r="T6" s="315"/>
      <c r="AD6" s="94"/>
    </row>
    <row r="7" spans="1:30" x14ac:dyDescent="0.2">
      <c r="B7" s="112">
        <v>1163</v>
      </c>
      <c r="C7" s="68">
        <v>16410</v>
      </c>
      <c r="D7" s="72">
        <v>43555</v>
      </c>
      <c r="E7" s="174" t="s">
        <v>56</v>
      </c>
      <c r="F7" s="72">
        <v>42094</v>
      </c>
      <c r="G7" s="33">
        <v>-22307734.890000012</v>
      </c>
      <c r="H7" s="186">
        <v>989.11000000000024</v>
      </c>
      <c r="I7" s="33">
        <v>1423.0183767889962</v>
      </c>
      <c r="J7" s="358">
        <f t="shared" si="0"/>
        <v>1407521.7066657643</v>
      </c>
      <c r="K7" s="119">
        <f>_xlfn.IFNA(VLOOKUP("TOTAL OS 1163",Working!B:G,2,FALSE),0)</f>
        <v>15249510.074999999</v>
      </c>
      <c r="L7" s="120">
        <f t="shared" si="1"/>
        <v>-5650703.108334247</v>
      </c>
      <c r="M7" s="398">
        <f t="shared" si="4"/>
        <v>-0.56507031083342474</v>
      </c>
      <c r="N7" s="314">
        <v>1415.3998948282267</v>
      </c>
      <c r="O7" s="298">
        <f t="shared" si="2"/>
        <v>7.6184819607694862</v>
      </c>
      <c r="P7" s="303">
        <v>-9962731.3045744337</v>
      </c>
      <c r="Q7" s="298">
        <f t="shared" si="3"/>
        <v>-0.43120281962401869</v>
      </c>
      <c r="R7" s="256"/>
      <c r="T7" s="315"/>
    </row>
    <row r="8" spans="1:30" x14ac:dyDescent="0.2">
      <c r="B8" s="112">
        <v>1164</v>
      </c>
      <c r="C8" s="68">
        <v>16410</v>
      </c>
      <c r="D8" s="72">
        <v>43555</v>
      </c>
      <c r="E8" s="174" t="s">
        <v>62</v>
      </c>
      <c r="F8" s="72">
        <v>42094</v>
      </c>
      <c r="G8" s="33">
        <v>-11861125.71999998</v>
      </c>
      <c r="H8" s="186">
        <v>238.93</v>
      </c>
      <c r="I8" s="33">
        <v>1049.0070650967573</v>
      </c>
      <c r="J8" s="358">
        <f t="shared" si="0"/>
        <v>250639.25806356824</v>
      </c>
      <c r="K8" s="119">
        <f>_xlfn.IFNA(VLOOKUP("TOTAL OS 1164",Working!B:G,2,FALSE),0)</f>
        <v>8913319.25</v>
      </c>
      <c r="L8" s="120">
        <f t="shared" si="1"/>
        <v>-2697167.2119364124</v>
      </c>
      <c r="M8" s="396">
        <f t="shared" si="4"/>
        <v>-0.26971672119364126</v>
      </c>
      <c r="N8" s="314">
        <v>1101.1160663070266</v>
      </c>
      <c r="O8" s="298">
        <f t="shared" si="2"/>
        <v>-52.109001210269298</v>
      </c>
      <c r="P8" s="303">
        <v>-2374276.619224784</v>
      </c>
      <c r="Q8" s="298">
        <f t="shared" si="3"/>
        <v>3.2289059271162844E-2</v>
      </c>
      <c r="R8" s="256"/>
      <c r="T8" s="315"/>
      <c r="AD8" s="94"/>
    </row>
    <row r="9" spans="1:30" ht="15" x14ac:dyDescent="0.25">
      <c r="B9" s="198">
        <v>1174</v>
      </c>
      <c r="C9" s="68">
        <v>16037</v>
      </c>
      <c r="D9" s="72" t="s">
        <v>126</v>
      </c>
      <c r="E9" s="199" t="s">
        <v>102</v>
      </c>
      <c r="F9" s="72">
        <v>41729</v>
      </c>
      <c r="G9" s="33">
        <v>-483514.25999999995</v>
      </c>
      <c r="H9" s="186">
        <v>75.034999999999982</v>
      </c>
      <c r="I9" s="33">
        <v>710</v>
      </c>
      <c r="J9" s="358">
        <f t="shared" si="0"/>
        <v>53274.849999999984</v>
      </c>
      <c r="K9" s="119">
        <f>_xlfn.IFNA(VLOOKUP("TOTAL OS 1174",Working!B:G,2,FALSE),0)</f>
        <v>381248.63</v>
      </c>
      <c r="L9" s="169">
        <f t="shared" si="1"/>
        <v>-48990.77999999997</v>
      </c>
      <c r="M9" s="396">
        <f t="shared" si="4"/>
        <v>-4.8990779999999968E-3</v>
      </c>
      <c r="N9" s="314">
        <v>708.24008076521727</v>
      </c>
      <c r="O9" s="298">
        <f t="shared" si="2"/>
        <v>1.7599192347827284</v>
      </c>
      <c r="P9" s="303">
        <v>-54865.794892444392</v>
      </c>
      <c r="Q9" s="298">
        <f t="shared" si="3"/>
        <v>-5.875014892444422E-4</v>
      </c>
      <c r="R9" s="256"/>
      <c r="T9" s="315"/>
    </row>
    <row r="10" spans="1:30" ht="14.45" customHeight="1" x14ac:dyDescent="0.25">
      <c r="B10" s="138">
        <v>1160</v>
      </c>
      <c r="C10" s="68">
        <v>16570</v>
      </c>
      <c r="D10" s="72">
        <v>43555</v>
      </c>
      <c r="E10" s="199" t="s">
        <v>103</v>
      </c>
      <c r="F10" s="72">
        <v>42185</v>
      </c>
      <c r="G10" s="33">
        <v>-21706367.930000018</v>
      </c>
      <c r="H10" s="186">
        <v>2924.4550000000017</v>
      </c>
      <c r="I10" s="33">
        <v>1700.0000000000002</v>
      </c>
      <c r="J10" s="358">
        <f t="shared" si="0"/>
        <v>4971573.5000000037</v>
      </c>
      <c r="K10" s="119">
        <f>_xlfn.IFNA(VLOOKUP("TOTAL OS 1160",Working!B:G,2,FALSE),0)</f>
        <v>11879560.9</v>
      </c>
      <c r="L10" s="120">
        <f t="shared" si="1"/>
        <v>-4855233.5300000142</v>
      </c>
      <c r="M10" s="396">
        <f t="shared" si="4"/>
        <v>-0.48552335300000143</v>
      </c>
      <c r="N10" s="314">
        <v>1699.9999999999984</v>
      </c>
      <c r="O10" s="314">
        <f t="shared" si="2"/>
        <v>1.8189894035458565E-12</v>
      </c>
      <c r="P10" s="303">
        <v>-5016929.9074999783</v>
      </c>
      <c r="Q10" s="298">
        <f t="shared" si="3"/>
        <v>-1.6169637749996409E-2</v>
      </c>
      <c r="R10" s="256"/>
      <c r="T10" s="315"/>
      <c r="AD10" s="94"/>
    </row>
    <row r="11" spans="1:30" ht="14.45" customHeight="1" x14ac:dyDescent="0.25">
      <c r="B11" s="138">
        <v>1167</v>
      </c>
      <c r="C11" s="68">
        <v>16410</v>
      </c>
      <c r="D11" s="72">
        <v>43555</v>
      </c>
      <c r="E11" s="199" t="s">
        <v>104</v>
      </c>
      <c r="F11" s="72">
        <v>41670</v>
      </c>
      <c r="G11" s="33">
        <v>-134120396.92000037</v>
      </c>
      <c r="H11" s="186">
        <v>152.69999999999999</v>
      </c>
      <c r="I11" s="33">
        <v>16877.387416425678</v>
      </c>
      <c r="J11" s="358">
        <f t="shared" si="0"/>
        <v>2577177.0584882009</v>
      </c>
      <c r="K11" s="119">
        <f>_xlfn.IFNA(VLOOKUP("TOTAL OS 1167",Working!B:G,2,FALSE),0)</f>
        <v>93566469.575000003</v>
      </c>
      <c r="L11" s="120">
        <f t="shared" si="1"/>
        <v>-37976750.286512166</v>
      </c>
      <c r="M11" s="397">
        <f t="shared" si="4"/>
        <v>-3.7976750286512164</v>
      </c>
      <c r="N11" s="314">
        <v>17444.384385490153</v>
      </c>
      <c r="O11" s="298">
        <f t="shared" si="2"/>
        <v>-566.99696906447571</v>
      </c>
      <c r="P11" s="303">
        <v>-56333650.85348019</v>
      </c>
      <c r="Q11" s="316">
        <f t="shared" si="3"/>
        <v>-1.8356900566968024</v>
      </c>
      <c r="R11" s="256"/>
      <c r="T11" s="315"/>
      <c r="V11" s="189"/>
    </row>
    <row r="12" spans="1:30" ht="14.45" customHeight="1" x14ac:dyDescent="0.25">
      <c r="B12" s="138">
        <v>1182</v>
      </c>
      <c r="C12" s="164">
        <v>16036</v>
      </c>
      <c r="D12" s="72">
        <v>43555</v>
      </c>
      <c r="E12" s="165" t="s">
        <v>112</v>
      </c>
      <c r="F12" s="72"/>
      <c r="G12" s="33">
        <v>-19116.339999999989</v>
      </c>
      <c r="H12" s="186">
        <v>0</v>
      </c>
      <c r="I12" s="33">
        <v>0</v>
      </c>
      <c r="J12" s="358">
        <f t="shared" si="0"/>
        <v>0</v>
      </c>
      <c r="K12" s="119">
        <f>_xlfn.IFNA(VLOOKUP("TOTAL OS 1182",Working!B:G,2,FALSE),0)</f>
        <v>0</v>
      </c>
      <c r="L12" s="120">
        <f t="shared" si="1"/>
        <v>-19116.339999999989</v>
      </c>
      <c r="M12" s="396">
        <f t="shared" si="4"/>
        <v>-1.9116339999999989E-3</v>
      </c>
      <c r="N12" s="314">
        <v>0</v>
      </c>
      <c r="O12" s="298">
        <f t="shared" si="2"/>
        <v>0</v>
      </c>
      <c r="P12" s="303">
        <v>-19116.339999999989</v>
      </c>
      <c r="Q12" s="298">
        <f t="shared" si="3"/>
        <v>0</v>
      </c>
      <c r="R12" s="256"/>
      <c r="T12" s="315"/>
    </row>
    <row r="13" spans="1:30" x14ac:dyDescent="0.2">
      <c r="B13" s="112">
        <v>3154</v>
      </c>
      <c r="C13" s="68">
        <v>16021</v>
      </c>
      <c r="D13" s="72">
        <v>44227</v>
      </c>
      <c r="E13" s="41" t="s">
        <v>63</v>
      </c>
      <c r="F13" s="72">
        <v>42019</v>
      </c>
      <c r="G13" s="33">
        <v>9668.5199999999968</v>
      </c>
      <c r="H13" s="186">
        <v>0.41700000000000004</v>
      </c>
      <c r="I13" s="33">
        <v>3020</v>
      </c>
      <c r="J13" s="358">
        <f t="shared" si="0"/>
        <v>1259.3400000000001</v>
      </c>
      <c r="K13" s="119">
        <f>_xlfn.IFNA(VLOOKUP("TOTAL OS 3154",Working!B:G,2,FALSE),0)</f>
        <v>0</v>
      </c>
      <c r="L13" s="120">
        <f t="shared" si="1"/>
        <v>10927.859999999997</v>
      </c>
      <c r="M13" s="396">
        <f t="shared" si="4"/>
        <v>1.0927859999999997E-3</v>
      </c>
      <c r="N13" s="314">
        <v>3019.9999999999995</v>
      </c>
      <c r="O13" s="298">
        <f t="shared" si="2"/>
        <v>0</v>
      </c>
      <c r="P13" s="303">
        <v>10511.099999999997</v>
      </c>
      <c r="Q13" s="298">
        <f t="shared" si="3"/>
        <v>-4.1676000000000019E-5</v>
      </c>
      <c r="R13" s="256"/>
      <c r="T13" s="315"/>
    </row>
    <row r="14" spans="1:30" x14ac:dyDescent="0.2">
      <c r="B14" s="112">
        <v>3155</v>
      </c>
      <c r="C14" s="68">
        <v>16045</v>
      </c>
      <c r="D14" s="72">
        <v>43281</v>
      </c>
      <c r="E14" s="174" t="s">
        <v>386</v>
      </c>
      <c r="F14" s="72">
        <v>42063</v>
      </c>
      <c r="G14" s="33">
        <v>-5684242.6199999889</v>
      </c>
      <c r="H14" s="186">
        <v>96.070000000000007</v>
      </c>
      <c r="I14" s="33">
        <v>2634.51</v>
      </c>
      <c r="J14" s="358">
        <f t="shared" si="0"/>
        <v>253097.37570000003</v>
      </c>
      <c r="K14" s="119">
        <f>_xlfn.IFNA(VLOOKUP("TOTAL OS 3155",Working!B:G,2,FALSE),0)</f>
        <v>6713777.3430000171</v>
      </c>
      <c r="L14" s="169">
        <f t="shared" si="1"/>
        <v>1282632.0987000279</v>
      </c>
      <c r="M14" s="396">
        <f t="shared" si="4"/>
        <v>0.12826320987000278</v>
      </c>
      <c r="N14" s="314">
        <v>2694.5147767390317</v>
      </c>
      <c r="O14" s="298">
        <f t="shared" si="2"/>
        <v>-60.004776739031513</v>
      </c>
      <c r="P14" s="303">
        <v>80735.740852410905</v>
      </c>
      <c r="Q14" s="298">
        <f t="shared" si="3"/>
        <v>-0.1201896357847617</v>
      </c>
      <c r="R14" s="256"/>
      <c r="T14" s="315"/>
    </row>
    <row r="15" spans="1:30" x14ac:dyDescent="0.2">
      <c r="B15" s="112">
        <v>1113</v>
      </c>
      <c r="C15" s="68">
        <v>16036</v>
      </c>
      <c r="D15" s="72">
        <v>43251</v>
      </c>
      <c r="E15" s="174" t="s">
        <v>64</v>
      </c>
      <c r="F15" s="72">
        <v>42094</v>
      </c>
      <c r="G15" s="33">
        <v>3784680.1699999957</v>
      </c>
      <c r="H15" s="186">
        <v>0</v>
      </c>
      <c r="I15" s="33">
        <v>0</v>
      </c>
      <c r="J15" s="358">
        <f t="shared" si="0"/>
        <v>0</v>
      </c>
      <c r="K15" s="119">
        <f>_xlfn.IFNA(VLOOKUP("TOTAL OS 1113",Working!B:G,2,FALSE),0)</f>
        <v>10350.645</v>
      </c>
      <c r="L15" s="120">
        <f t="shared" si="1"/>
        <v>3795030.8149999958</v>
      </c>
      <c r="M15" s="396">
        <f>L15/10^7</f>
        <v>0.37950308149999956</v>
      </c>
      <c r="N15" s="314">
        <v>993.64075887392903</v>
      </c>
      <c r="O15" s="298">
        <f t="shared" si="2"/>
        <v>-993.64075887392903</v>
      </c>
      <c r="P15" s="303">
        <v>3917072.7551529943</v>
      </c>
      <c r="Q15" s="298">
        <f t="shared" si="3"/>
        <v>1.2204194015299855E-2</v>
      </c>
      <c r="R15" s="256"/>
      <c r="T15" s="315"/>
    </row>
    <row r="16" spans="1:30" x14ac:dyDescent="0.2">
      <c r="B16" s="112">
        <v>1172</v>
      </c>
      <c r="C16" s="68">
        <v>16625</v>
      </c>
      <c r="D16" s="72" t="s">
        <v>131</v>
      </c>
      <c r="E16" s="174" t="s">
        <v>107</v>
      </c>
      <c r="F16" s="72"/>
      <c r="G16" s="33">
        <v>-8976892.4899999984</v>
      </c>
      <c r="H16" s="186">
        <v>214.14000000000001</v>
      </c>
      <c r="I16" s="33">
        <v>3290.3586646712442</v>
      </c>
      <c r="J16" s="358">
        <f t="shared" si="0"/>
        <v>704597.40445270028</v>
      </c>
      <c r="K16" s="33">
        <f>_xlfn.IFNA(VLOOKUP("TOTAL OS 1172",Working!B:G,2,FALSE),0)</f>
        <v>4022798.4400000302</v>
      </c>
      <c r="L16" s="169">
        <f t="shared" si="1"/>
        <v>-4249496.645547268</v>
      </c>
      <c r="M16" s="399">
        <f t="shared" si="4"/>
        <v>-0.42494966455472682</v>
      </c>
      <c r="N16" s="314">
        <v>3040.8420788127833</v>
      </c>
      <c r="O16" s="298">
        <f t="shared" si="2"/>
        <v>249.51658585846099</v>
      </c>
      <c r="P16" s="303">
        <v>-4399772.3490170259</v>
      </c>
      <c r="Q16" s="298">
        <f t="shared" si="3"/>
        <v>-1.5027570346975792E-2</v>
      </c>
      <c r="R16" s="256"/>
      <c r="T16" s="315"/>
    </row>
    <row r="17" spans="2:20" x14ac:dyDescent="0.2">
      <c r="B17" s="151">
        <v>1180</v>
      </c>
      <c r="C17" s="68">
        <v>16625</v>
      </c>
      <c r="D17" s="72" t="s">
        <v>131</v>
      </c>
      <c r="E17" s="41" t="s">
        <v>113</v>
      </c>
      <c r="F17" s="72"/>
      <c r="G17" s="33">
        <v>0</v>
      </c>
      <c r="H17" s="186">
        <v>0</v>
      </c>
      <c r="I17" s="33">
        <v>0</v>
      </c>
      <c r="J17" s="358">
        <f t="shared" si="0"/>
        <v>0</v>
      </c>
      <c r="K17" s="33">
        <f>_xlfn.IFNA(VLOOKUP("TOTAL OS 1180",Working!B:G,2,FALSE),0)</f>
        <v>0</v>
      </c>
      <c r="L17" s="120">
        <f t="shared" si="1"/>
        <v>0</v>
      </c>
      <c r="M17" s="396">
        <f t="shared" si="4"/>
        <v>0</v>
      </c>
      <c r="N17" s="314">
        <v>0</v>
      </c>
      <c r="O17" s="298">
        <f t="shared" si="2"/>
        <v>0</v>
      </c>
      <c r="P17" s="303">
        <v>0</v>
      </c>
      <c r="Q17" s="298">
        <f t="shared" si="3"/>
        <v>0</v>
      </c>
      <c r="R17" s="256"/>
      <c r="T17" s="315"/>
    </row>
    <row r="18" spans="2:20" ht="13.9" customHeight="1" x14ac:dyDescent="0.2">
      <c r="B18" s="139">
        <v>1179</v>
      </c>
      <c r="C18" s="68">
        <v>16145</v>
      </c>
      <c r="D18" s="72">
        <v>43281</v>
      </c>
      <c r="E18" s="174" t="s">
        <v>109</v>
      </c>
      <c r="F18" s="72"/>
      <c r="G18" s="33">
        <v>-606450.5199999999</v>
      </c>
      <c r="H18" s="186">
        <v>115.11799999999999</v>
      </c>
      <c r="I18" s="33">
        <v>1205.565876847757</v>
      </c>
      <c r="J18" s="358">
        <f t="shared" si="0"/>
        <v>138782.33261096009</v>
      </c>
      <c r="K18" s="119">
        <f>_xlfn.IFNA(VLOOKUP("TOTAL OS 1179",Working!B:G,2,FALSE),0)</f>
        <v>178281.49</v>
      </c>
      <c r="L18" s="169">
        <f t="shared" si="1"/>
        <v>-289386.69738903979</v>
      </c>
      <c r="M18" s="396">
        <f t="shared" si="4"/>
        <v>-2.893866973890398E-2</v>
      </c>
      <c r="N18" s="314">
        <v>1374.6781409519738</v>
      </c>
      <c r="O18" s="317">
        <f t="shared" si="2"/>
        <v>-169.11226410421682</v>
      </c>
      <c r="P18" s="303">
        <v>-333695.7800127212</v>
      </c>
      <c r="Q18" s="298">
        <f t="shared" si="3"/>
        <v>-4.4309082623681401E-3</v>
      </c>
      <c r="R18" s="256"/>
      <c r="T18" s="315"/>
    </row>
    <row r="19" spans="2:20" x14ac:dyDescent="0.2">
      <c r="B19" s="112">
        <v>4328</v>
      </c>
      <c r="C19" s="68">
        <v>16640</v>
      </c>
      <c r="D19" s="72">
        <v>43555</v>
      </c>
      <c r="E19" s="174" t="s">
        <v>106</v>
      </c>
      <c r="F19" s="72"/>
      <c r="G19" s="33">
        <v>-26914582.540000077</v>
      </c>
      <c r="H19" s="186">
        <v>1290.6450000000004</v>
      </c>
      <c r="I19" s="33">
        <v>1468.5775788525389</v>
      </c>
      <c r="J19" s="358">
        <f t="shared" si="0"/>
        <v>1895412.3092581357</v>
      </c>
      <c r="K19" s="119">
        <f>_xlfn.IFNA(VLOOKUP("TOTAL OS 4328",Working!B:G,2,FALSE),0)</f>
        <v>196653256.768857</v>
      </c>
      <c r="L19" s="169">
        <f t="shared" si="1"/>
        <v>171634086.53811505</v>
      </c>
      <c r="M19" s="396">
        <f t="shared" si="4"/>
        <v>17.163408653811505</v>
      </c>
      <c r="N19" s="314">
        <v>1408.3964161535628</v>
      </c>
      <c r="O19" s="298">
        <f t="shared" si="2"/>
        <v>60.181162698976095</v>
      </c>
      <c r="P19" s="303">
        <v>175167160.06384769</v>
      </c>
      <c r="Q19" s="298">
        <f>+(P19-L19)/10^7</f>
        <v>0.35330735257326362</v>
      </c>
      <c r="R19" s="256"/>
      <c r="T19" s="315"/>
    </row>
    <row r="20" spans="2:20" ht="13.9" customHeight="1" x14ac:dyDescent="0.2">
      <c r="B20" s="140">
        <v>1121</v>
      </c>
      <c r="C20" s="68">
        <v>16145</v>
      </c>
      <c r="D20" s="72">
        <v>43281</v>
      </c>
      <c r="E20" s="174" t="s">
        <v>65</v>
      </c>
      <c r="F20" s="72">
        <v>41729</v>
      </c>
      <c r="G20" s="33">
        <v>-44377939.890000284</v>
      </c>
      <c r="H20" s="186">
        <v>5247.7609999999986</v>
      </c>
      <c r="I20" s="33">
        <v>1946.2557119164342</v>
      </c>
      <c r="J20" s="358">
        <f t="shared" si="0"/>
        <v>10213484.821022296</v>
      </c>
      <c r="K20" s="119">
        <f>_xlfn.IFNA(VLOOKUP("TOTAL OS 1121",Working!B:G,2,FALSE),0)</f>
        <v>37491050.780999966</v>
      </c>
      <c r="L20" s="169">
        <f t="shared" si="1"/>
        <v>3326595.7120219767</v>
      </c>
      <c r="M20" s="396">
        <f t="shared" si="4"/>
        <v>0.33265957120219769</v>
      </c>
      <c r="N20" s="314">
        <v>1896.0213427055992</v>
      </c>
      <c r="O20" s="317">
        <f t="shared" si="2"/>
        <v>50.234369210834984</v>
      </c>
      <c r="P20" s="303">
        <v>1945910.9024800658</v>
      </c>
      <c r="Q20" s="298">
        <f t="shared" si="3"/>
        <v>-0.13806848095419108</v>
      </c>
      <c r="R20" s="257"/>
      <c r="S20" s="94">
        <v>565377508.57000005</v>
      </c>
      <c r="T20" s="315"/>
    </row>
    <row r="21" spans="2:20" ht="13.9" customHeight="1" x14ac:dyDescent="0.2">
      <c r="B21" s="115">
        <v>1133</v>
      </c>
      <c r="C21" s="68">
        <v>16037</v>
      </c>
      <c r="D21" s="72">
        <v>43281</v>
      </c>
      <c r="E21" s="174" t="s">
        <v>66</v>
      </c>
      <c r="F21" s="72">
        <v>42277</v>
      </c>
      <c r="G21" s="33">
        <v>-5535090.1199999992</v>
      </c>
      <c r="H21" s="186">
        <v>2489.723</v>
      </c>
      <c r="I21" s="33">
        <v>760.84619672105669</v>
      </c>
      <c r="J21" s="358">
        <f t="shared" si="0"/>
        <v>1894296.2754389395</v>
      </c>
      <c r="K21" s="119">
        <f>_xlfn.IFNA(VLOOKUP("TOTAL OS 1133",Working!B:G,2,FALSE),0)</f>
        <v>4998581.34</v>
      </c>
      <c r="L21" s="169">
        <f t="shared" si="1"/>
        <v>1357787.4954389399</v>
      </c>
      <c r="M21" s="396">
        <f t="shared" si="4"/>
        <v>0.13577874954389399</v>
      </c>
      <c r="N21" s="314">
        <v>804.55531366973264</v>
      </c>
      <c r="O21" s="298">
        <f t="shared" si="2"/>
        <v>-43.709116948675955</v>
      </c>
      <c r="P21" s="303">
        <v>1213437.1454370078</v>
      </c>
      <c r="Q21" s="298">
        <f t="shared" si="3"/>
        <v>-1.4435035000193212E-2</v>
      </c>
      <c r="R21" s="256"/>
      <c r="S21" s="94">
        <v>746464338.50999999</v>
      </c>
      <c r="T21" s="315"/>
    </row>
    <row r="22" spans="2:20" ht="13.9" customHeight="1" x14ac:dyDescent="0.2">
      <c r="B22" s="152">
        <v>1134</v>
      </c>
      <c r="C22" s="68">
        <v>16145</v>
      </c>
      <c r="D22" s="72">
        <v>43281</v>
      </c>
      <c r="E22" s="41" t="s">
        <v>67</v>
      </c>
      <c r="F22" s="72">
        <v>41729</v>
      </c>
      <c r="G22" s="33">
        <v>-612519.12000000442</v>
      </c>
      <c r="H22" s="186">
        <v>252.88900000000001</v>
      </c>
      <c r="I22" s="33">
        <v>755.00000000000011</v>
      </c>
      <c r="J22" s="358">
        <f t="shared" si="0"/>
        <v>190931.19500000004</v>
      </c>
      <c r="K22" s="119">
        <f>_xlfn.IFNA(VLOOKUP("TOTAL OS 1134",Working!B:G,2,FALSE),0)</f>
        <v>673806.54499999993</v>
      </c>
      <c r="L22" s="169">
        <f t="shared" si="1"/>
        <v>252218.61999999557</v>
      </c>
      <c r="M22" s="396">
        <f t="shared" si="4"/>
        <v>2.5221861999999557E-2</v>
      </c>
      <c r="N22" s="314">
        <v>685.03355264511617</v>
      </c>
      <c r="O22" s="298">
        <f t="shared" si="2"/>
        <v>69.96644735488394</v>
      </c>
      <c r="P22" s="303">
        <v>504945.55968839256</v>
      </c>
      <c r="Q22" s="298">
        <f t="shared" si="3"/>
        <v>2.5272693968839698E-2</v>
      </c>
      <c r="R22" s="256"/>
      <c r="T22" s="315"/>
    </row>
    <row r="23" spans="2:20" ht="13.9" customHeight="1" x14ac:dyDescent="0.2">
      <c r="B23" s="115">
        <v>1135</v>
      </c>
      <c r="C23" s="68">
        <v>16036</v>
      </c>
      <c r="D23" s="72">
        <v>43251</v>
      </c>
      <c r="E23" s="174" t="s">
        <v>68</v>
      </c>
      <c r="F23" s="72">
        <v>42094</v>
      </c>
      <c r="G23" s="33">
        <v>-1687898.9100000015</v>
      </c>
      <c r="H23" s="186">
        <v>0</v>
      </c>
      <c r="I23" s="33">
        <v>0</v>
      </c>
      <c r="J23" s="358">
        <f t="shared" si="0"/>
        <v>0</v>
      </c>
      <c r="K23" s="119">
        <f>_xlfn.IFNA(VLOOKUP("TOTAL OS 1135",Working!B:G,2,FALSE),0)</f>
        <v>31606.832999999999</v>
      </c>
      <c r="L23" s="120">
        <f t="shared" si="1"/>
        <v>-1656292.0770000014</v>
      </c>
      <c r="M23" s="396">
        <f t="shared" si="4"/>
        <v>-0.16562920770000014</v>
      </c>
      <c r="N23" s="314">
        <v>281.63379644977545</v>
      </c>
      <c r="O23" s="298">
        <f t="shared" si="2"/>
        <v>-281.63379644977545</v>
      </c>
      <c r="P23" s="303">
        <v>-1583763.853000002</v>
      </c>
      <c r="Q23" s="298">
        <f t="shared" si="3"/>
        <v>7.2528223999999463E-3</v>
      </c>
      <c r="R23" s="256"/>
      <c r="T23" s="315"/>
    </row>
    <row r="24" spans="2:20" ht="13.9" customHeight="1" x14ac:dyDescent="0.2">
      <c r="B24" s="152">
        <v>1140</v>
      </c>
      <c r="C24" s="68">
        <v>16410</v>
      </c>
      <c r="D24" s="72">
        <v>43251</v>
      </c>
      <c r="E24" s="41" t="s">
        <v>69</v>
      </c>
      <c r="F24" s="72">
        <v>42094</v>
      </c>
      <c r="G24" s="33">
        <v>0</v>
      </c>
      <c r="H24" s="186">
        <v>0</v>
      </c>
      <c r="I24" s="33">
        <v>0</v>
      </c>
      <c r="J24" s="358">
        <f t="shared" si="0"/>
        <v>0</v>
      </c>
      <c r="K24" s="119">
        <f>_xlfn.IFNA(VLOOKUP("TOTAL OS 1140",Working!B:G,2,FALSE),0)</f>
        <v>0</v>
      </c>
      <c r="L24" s="120">
        <f t="shared" si="1"/>
        <v>0</v>
      </c>
      <c r="M24" s="396">
        <f t="shared" si="4"/>
        <v>0</v>
      </c>
      <c r="N24" s="314">
        <v>0</v>
      </c>
      <c r="O24" s="298">
        <f t="shared" si="2"/>
        <v>0</v>
      </c>
      <c r="P24" s="303">
        <v>0</v>
      </c>
      <c r="Q24" s="298">
        <f t="shared" si="3"/>
        <v>0</v>
      </c>
      <c r="R24" s="256"/>
      <c r="T24" s="315"/>
    </row>
    <row r="25" spans="2:20" ht="13.9" customHeight="1" x14ac:dyDescent="0.2">
      <c r="B25" s="152">
        <v>1141</v>
      </c>
      <c r="C25" s="68">
        <v>16410</v>
      </c>
      <c r="D25" s="72">
        <v>43251</v>
      </c>
      <c r="E25" s="41" t="s">
        <v>69</v>
      </c>
      <c r="F25" s="72">
        <v>42094</v>
      </c>
      <c r="G25" s="33">
        <v>189886.08000000002</v>
      </c>
      <c r="H25" s="186">
        <v>0</v>
      </c>
      <c r="I25" s="33">
        <v>0</v>
      </c>
      <c r="J25" s="358">
        <f t="shared" si="0"/>
        <v>0</v>
      </c>
      <c r="K25" s="119">
        <f>_xlfn.IFNA(VLOOKUP("TOTAL OS 1141",Working!B:G,2,FALSE),0)</f>
        <v>0</v>
      </c>
      <c r="L25" s="120">
        <f t="shared" si="1"/>
        <v>189886.08000000002</v>
      </c>
      <c r="M25" s="396">
        <f t="shared" si="4"/>
        <v>1.8988608000000001E-2</v>
      </c>
      <c r="N25" s="314">
        <v>0</v>
      </c>
      <c r="O25" s="298">
        <f t="shared" si="2"/>
        <v>0</v>
      </c>
      <c r="P25" s="303">
        <v>189886.08000000002</v>
      </c>
      <c r="Q25" s="298">
        <f t="shared" si="3"/>
        <v>0</v>
      </c>
      <c r="R25" s="256"/>
      <c r="T25" s="315"/>
    </row>
    <row r="26" spans="2:20" ht="13.9" customHeight="1" x14ac:dyDescent="0.2">
      <c r="B26" s="152">
        <v>2218</v>
      </c>
      <c r="C26" s="164">
        <v>16385</v>
      </c>
      <c r="D26" s="72">
        <v>43190</v>
      </c>
      <c r="E26" s="174" t="s">
        <v>70</v>
      </c>
      <c r="F26" s="72">
        <v>41639</v>
      </c>
      <c r="G26" s="33">
        <v>-21066323.579999879</v>
      </c>
      <c r="H26" s="186">
        <v>1453.7639999999988</v>
      </c>
      <c r="I26" s="33">
        <v>1566.5543704953509</v>
      </c>
      <c r="J26" s="358">
        <f t="shared" si="0"/>
        <v>2277400.3478688016</v>
      </c>
      <c r="K26" s="119">
        <f>_xlfn.IFNA(VLOOKUP("TOTAL OS 2218",Working!B:G,2,FALSE),0)</f>
        <v>19137014.085999988</v>
      </c>
      <c r="L26" s="169">
        <f t="shared" si="1"/>
        <v>348090.85386890918</v>
      </c>
      <c r="M26" s="396">
        <f t="shared" si="4"/>
        <v>3.4809085386890919E-2</v>
      </c>
      <c r="N26" s="314">
        <v>1673.4420407817072</v>
      </c>
      <c r="O26" s="298">
        <f t="shared" si="2"/>
        <v>-106.8876702863563</v>
      </c>
      <c r="P26" s="303">
        <v>1283343.9349822532</v>
      </c>
      <c r="Q26" s="298">
        <f t="shared" si="3"/>
        <v>9.3525308111334401E-2</v>
      </c>
      <c r="R26" s="256"/>
      <c r="T26" s="315"/>
    </row>
    <row r="27" spans="2:20" ht="13.9" customHeight="1" x14ac:dyDescent="0.2">
      <c r="B27" s="115">
        <v>2223</v>
      </c>
      <c r="C27" s="68">
        <v>16560</v>
      </c>
      <c r="D27" s="72">
        <v>43220</v>
      </c>
      <c r="E27" s="41" t="s">
        <v>5</v>
      </c>
      <c r="F27" s="72">
        <v>42124</v>
      </c>
      <c r="G27" s="33">
        <v>-1091427.4999999974</v>
      </c>
      <c r="H27" s="177">
        <v>-2.4350000000000001</v>
      </c>
      <c r="I27" s="33">
        <v>1100</v>
      </c>
      <c r="J27" s="358">
        <f t="shared" si="0"/>
        <v>-2678.5</v>
      </c>
      <c r="K27" s="119">
        <f>_xlfn.IFNA(VLOOKUP("TOTAL OS 2223",Working!B:G,2,FALSE),0)</f>
        <v>246472.01</v>
      </c>
      <c r="L27" s="120">
        <f t="shared" si="1"/>
        <v>-847633.98999999743</v>
      </c>
      <c r="M27" s="396">
        <f t="shared" si="4"/>
        <v>-8.4763398999999739E-2</v>
      </c>
      <c r="N27" s="314">
        <v>0</v>
      </c>
      <c r="O27" s="298">
        <f t="shared" si="2"/>
        <v>1100</v>
      </c>
      <c r="P27" s="303">
        <v>-844955.48999999743</v>
      </c>
      <c r="Q27" s="298">
        <f t="shared" si="3"/>
        <v>2.6784999999999998E-4</v>
      </c>
      <c r="R27" s="256"/>
      <c r="T27" s="315"/>
    </row>
    <row r="28" spans="2:20" ht="13.9" customHeight="1" x14ac:dyDescent="0.2">
      <c r="B28" s="152">
        <v>2264</v>
      </c>
      <c r="C28" s="68">
        <v>16560</v>
      </c>
      <c r="D28" s="72" t="s">
        <v>125</v>
      </c>
      <c r="E28" s="41" t="s">
        <v>90</v>
      </c>
      <c r="F28" s="72"/>
      <c r="G28" s="33">
        <v>-66962.149999999994</v>
      </c>
      <c r="H28" s="186">
        <v>3.41</v>
      </c>
      <c r="I28" s="33">
        <v>915</v>
      </c>
      <c r="J28" s="358">
        <f t="shared" si="0"/>
        <v>3120.15</v>
      </c>
      <c r="K28" s="119">
        <f>_xlfn.IFNA(VLOOKUP("TOTAL OS 2264",Working!B:G,2,FALSE),0)</f>
        <v>0</v>
      </c>
      <c r="L28" s="120">
        <f t="shared" si="1"/>
        <v>-63841.999999999993</v>
      </c>
      <c r="M28" s="396">
        <f t="shared" si="4"/>
        <v>-6.3841999999999996E-3</v>
      </c>
      <c r="N28" s="314">
        <v>915</v>
      </c>
      <c r="O28" s="298">
        <f t="shared" si="2"/>
        <v>0</v>
      </c>
      <c r="P28" s="303">
        <v>-63841.999999999993</v>
      </c>
      <c r="Q28" s="298">
        <f t="shared" si="3"/>
        <v>0</v>
      </c>
      <c r="R28" s="256"/>
      <c r="T28" s="315"/>
    </row>
    <row r="29" spans="2:20" ht="13.9" customHeight="1" x14ac:dyDescent="0.2">
      <c r="B29" s="117">
        <v>3112</v>
      </c>
      <c r="C29" s="68">
        <v>16021</v>
      </c>
      <c r="D29" s="72">
        <v>44227</v>
      </c>
      <c r="E29" s="41" t="s">
        <v>6</v>
      </c>
      <c r="F29" s="72">
        <v>42019</v>
      </c>
      <c r="G29" s="33">
        <v>-2628189.5000000005</v>
      </c>
      <c r="H29" s="187">
        <v>54.994999999999997</v>
      </c>
      <c r="I29" s="33">
        <v>1150.0160242737084</v>
      </c>
      <c r="J29" s="358">
        <f t="shared" si="0"/>
        <v>63245.131254932588</v>
      </c>
      <c r="K29" s="119">
        <f>_xlfn.IFNA(VLOOKUP("TOTAL OS 3112",Working!B:G,2,FALSE),0)</f>
        <v>2715804.91</v>
      </c>
      <c r="L29" s="120">
        <f t="shared" si="1"/>
        <v>150860.54125493206</v>
      </c>
      <c r="M29" s="396">
        <f t="shared" si="4"/>
        <v>1.5086054125493206E-2</v>
      </c>
      <c r="N29" s="314">
        <v>1274.87211456826</v>
      </c>
      <c r="O29" s="298">
        <f t="shared" si="2"/>
        <v>-124.85609029455168</v>
      </c>
      <c r="P29" s="303">
        <v>647324.91448702011</v>
      </c>
      <c r="Q29" s="298">
        <f t="shared" si="3"/>
        <v>4.9646437323208809E-2</v>
      </c>
      <c r="R29" s="256"/>
      <c r="T29" s="315"/>
    </row>
    <row r="30" spans="2:20" ht="13.9" customHeight="1" x14ac:dyDescent="0.2">
      <c r="B30" s="117">
        <v>3119</v>
      </c>
      <c r="C30" s="68">
        <v>16420</v>
      </c>
      <c r="D30" s="72" t="s">
        <v>365</v>
      </c>
      <c r="E30" s="174" t="s">
        <v>8</v>
      </c>
      <c r="F30" s="72">
        <v>41729</v>
      </c>
      <c r="G30" s="33">
        <v>-12605126.070000065</v>
      </c>
      <c r="H30" s="186">
        <v>719.36900000000003</v>
      </c>
      <c r="I30" s="33">
        <v>2292.1722974134432</v>
      </c>
      <c r="J30" s="358">
        <f t="shared" si="0"/>
        <v>1648917.6934180113</v>
      </c>
      <c r="K30" s="119">
        <f>_xlfn.IFNA(VLOOKUP("TOTAL OS 3119",Working!B:G,2,FALSE),0)</f>
        <v>11907652.520000011</v>
      </c>
      <c r="L30" s="120">
        <f t="shared" si="1"/>
        <v>951444.14341795631</v>
      </c>
      <c r="M30" s="396">
        <f t="shared" si="4"/>
        <v>9.514441434179563E-2</v>
      </c>
      <c r="N30" s="314">
        <v>2220.2307214498278</v>
      </c>
      <c r="O30" s="298">
        <f t="shared" si="2"/>
        <v>71.941575963615378</v>
      </c>
      <c r="P30" s="303">
        <v>725339.52858362161</v>
      </c>
      <c r="Q30" s="298">
        <f t="shared" si="3"/>
        <v>-2.2610461483433469E-2</v>
      </c>
      <c r="R30" s="256"/>
      <c r="T30" s="315"/>
    </row>
    <row r="31" spans="2:20" ht="13.9" customHeight="1" x14ac:dyDescent="0.2">
      <c r="B31" s="117">
        <v>1279</v>
      </c>
      <c r="C31" s="68">
        <v>16037</v>
      </c>
      <c r="D31" s="110">
        <v>42369</v>
      </c>
      <c r="E31" s="41" t="s">
        <v>160</v>
      </c>
      <c r="F31" s="72"/>
      <c r="G31" s="33">
        <v>0</v>
      </c>
      <c r="H31" s="186">
        <v>0</v>
      </c>
      <c r="I31" s="33">
        <v>65.999999999999986</v>
      </c>
      <c r="J31" s="358">
        <f t="shared" si="0"/>
        <v>0</v>
      </c>
      <c r="K31" s="119">
        <f>_xlfn.IFNA(VLOOKUP("TOTAL OS 1279",Working!B:G,2,FALSE),0)</f>
        <v>39006.198000000004</v>
      </c>
      <c r="L31" s="169">
        <f t="shared" si="1"/>
        <v>39006.198000000004</v>
      </c>
      <c r="M31" s="396">
        <f t="shared" si="4"/>
        <v>3.9006198000000004E-3</v>
      </c>
      <c r="N31" s="314">
        <v>0</v>
      </c>
      <c r="O31" s="298">
        <f t="shared" si="2"/>
        <v>65.999999999999986</v>
      </c>
      <c r="P31" s="303">
        <v>222452.13800000001</v>
      </c>
      <c r="Q31" s="298">
        <f t="shared" si="3"/>
        <v>1.8344593999999999E-2</v>
      </c>
      <c r="R31" s="256"/>
      <c r="T31" s="315"/>
    </row>
    <row r="32" spans="2:20" ht="13.9" customHeight="1" x14ac:dyDescent="0.2">
      <c r="B32" s="117">
        <v>3131</v>
      </c>
      <c r="C32" s="68">
        <v>16045</v>
      </c>
      <c r="D32" s="72">
        <v>43281</v>
      </c>
      <c r="E32" s="174" t="s">
        <v>9</v>
      </c>
      <c r="F32" s="72">
        <v>42063</v>
      </c>
      <c r="G32" s="33">
        <v>-5146296.0099999756</v>
      </c>
      <c r="H32" s="187">
        <v>460.29899999999998</v>
      </c>
      <c r="I32" s="33">
        <v>1560.2818974905131</v>
      </c>
      <c r="J32" s="358">
        <f t="shared" si="0"/>
        <v>718196.19713298569</v>
      </c>
      <c r="K32" s="119">
        <f>_xlfn.IFNA(VLOOKUP("TOTAL OS 3131",Working!B:G,2,FALSE),0)</f>
        <v>6132924.5659999996</v>
      </c>
      <c r="L32" s="169">
        <f t="shared" si="1"/>
        <v>1704824.7531330101</v>
      </c>
      <c r="M32" s="396">
        <f t="shared" si="4"/>
        <v>0.17048247531330102</v>
      </c>
      <c r="N32" s="314">
        <v>1593.2557023809129</v>
      </c>
      <c r="O32" s="298">
        <f t="shared" si="2"/>
        <v>-32.973804890399833</v>
      </c>
      <c r="P32" s="303">
        <v>1016349.9655908868</v>
      </c>
      <c r="Q32" s="298">
        <f t="shared" si="3"/>
        <v>-6.8847478754212335E-2</v>
      </c>
      <c r="R32" s="256"/>
      <c r="T32" s="315"/>
    </row>
    <row r="33" spans="1:20" ht="13.9" customHeight="1" x14ac:dyDescent="0.2">
      <c r="B33" s="117">
        <v>4315</v>
      </c>
      <c r="C33" s="68">
        <v>30508</v>
      </c>
      <c r="D33" s="72">
        <v>43465</v>
      </c>
      <c r="E33" s="174" t="s">
        <v>10</v>
      </c>
      <c r="F33" s="72">
        <v>42155</v>
      </c>
      <c r="G33" s="33">
        <v>-4332703.8300000932</v>
      </c>
      <c r="H33" s="187">
        <v>580.29200000000014</v>
      </c>
      <c r="I33" s="33">
        <v>1592.2387968747403</v>
      </c>
      <c r="J33" s="358">
        <f t="shared" si="0"/>
        <v>923963.43591603707</v>
      </c>
      <c r="K33" s="119">
        <f>_xlfn.IFNA(VLOOKUP("TOTAL OS 4315",Working!B:G,2,FALSE),0)</f>
        <v>4158398.58</v>
      </c>
      <c r="L33" s="120">
        <f t="shared" si="1"/>
        <v>749658.18591594417</v>
      </c>
      <c r="M33" s="396">
        <f t="shared" si="4"/>
        <v>7.4965818591594416E-2</v>
      </c>
      <c r="N33" s="314">
        <v>1695.5730582656624</v>
      </c>
      <c r="O33" s="298">
        <f t="shared" si="2"/>
        <v>-103.33426139092217</v>
      </c>
      <c r="P33" s="303">
        <v>741166.09119308228</v>
      </c>
      <c r="Q33" s="298">
        <f t="shared" si="3"/>
        <v>-8.4920947228618896E-4</v>
      </c>
      <c r="R33" s="256"/>
      <c r="T33" s="315"/>
    </row>
    <row r="34" spans="1:20" ht="13.9" customHeight="1" x14ac:dyDescent="0.2">
      <c r="B34" s="117">
        <v>3151</v>
      </c>
      <c r="C34" s="68">
        <v>16045</v>
      </c>
      <c r="D34" s="72">
        <v>43281</v>
      </c>
      <c r="E34" s="174" t="s">
        <v>71</v>
      </c>
      <c r="F34" s="72">
        <v>41820</v>
      </c>
      <c r="G34" s="33">
        <v>-9737048.4399999864</v>
      </c>
      <c r="H34" s="187">
        <v>523.39199999999994</v>
      </c>
      <c r="I34" s="33">
        <v>1987.0310229723591</v>
      </c>
      <c r="J34" s="358">
        <f t="shared" si="0"/>
        <v>1039996.1411755489</v>
      </c>
      <c r="K34" s="119">
        <f>_xlfn.IFNA(VLOOKUP("TOTAL OS 3151",Working!B:G,2,FALSE),0)</f>
        <v>12418314.060978625</v>
      </c>
      <c r="L34" s="169">
        <f t="shared" si="1"/>
        <v>3721261.762154188</v>
      </c>
      <c r="M34" s="396">
        <f t="shared" si="4"/>
        <v>0.37212617621541882</v>
      </c>
      <c r="N34" s="314">
        <v>1911.033355192543</v>
      </c>
      <c r="O34" s="298">
        <f t="shared" si="2"/>
        <v>75.997667779816084</v>
      </c>
      <c r="P34" s="303">
        <v>2190518.0256794468</v>
      </c>
      <c r="Q34" s="298">
        <f t="shared" si="3"/>
        <v>-0.15307437364747412</v>
      </c>
      <c r="R34" s="256"/>
      <c r="T34" s="315"/>
    </row>
    <row r="35" spans="1:20" ht="13.9" customHeight="1" x14ac:dyDescent="0.2">
      <c r="B35" s="116">
        <v>1258</v>
      </c>
      <c r="C35" s="68">
        <v>16023</v>
      </c>
      <c r="D35" s="72" t="s">
        <v>125</v>
      </c>
      <c r="E35" s="41" t="s">
        <v>89</v>
      </c>
      <c r="F35" s="72">
        <v>42094</v>
      </c>
      <c r="G35" s="33">
        <v>-33782.910000000003</v>
      </c>
      <c r="H35" s="178">
        <v>0</v>
      </c>
      <c r="I35" s="33">
        <v>0</v>
      </c>
      <c r="J35" s="358">
        <f t="shared" si="0"/>
        <v>0</v>
      </c>
      <c r="K35" s="119">
        <f>_xlfn.IFNA(VLOOKUP("TOTAL OS 1258",Working!B:G,2,FALSE),0)</f>
        <v>109598.565</v>
      </c>
      <c r="L35" s="120">
        <f t="shared" si="1"/>
        <v>75815.654999999999</v>
      </c>
      <c r="M35" s="396">
        <f t="shared" si="4"/>
        <v>7.5815654999999999E-3</v>
      </c>
      <c r="N35" s="314">
        <v>0</v>
      </c>
      <c r="O35" s="314">
        <f t="shared" si="2"/>
        <v>0</v>
      </c>
      <c r="P35" s="303">
        <v>75815.654999999999</v>
      </c>
      <c r="Q35" s="298">
        <f t="shared" si="3"/>
        <v>0</v>
      </c>
      <c r="R35" s="256"/>
      <c r="T35" s="315"/>
    </row>
    <row r="36" spans="1:20" ht="13.9" customHeight="1" x14ac:dyDescent="0.2">
      <c r="B36" s="116">
        <v>2242</v>
      </c>
      <c r="C36" s="68">
        <v>16560</v>
      </c>
      <c r="D36" s="72" t="s">
        <v>125</v>
      </c>
      <c r="E36" s="174" t="s">
        <v>90</v>
      </c>
      <c r="F36" s="72">
        <v>42338</v>
      </c>
      <c r="G36" s="33">
        <v>-23725181.350000039</v>
      </c>
      <c r="H36" s="186">
        <v>650.52700000000016</v>
      </c>
      <c r="I36" s="33">
        <v>1866.9370417695184</v>
      </c>
      <c r="J36" s="358">
        <f t="shared" ref="J36:J59" si="5">H36*I36</f>
        <v>1214492.9529711998</v>
      </c>
      <c r="K36" s="119">
        <f>_xlfn.IFNA(VLOOKUP("TOTAL OS 2242",Working!B:G,2,FALSE),0)</f>
        <v>23631058.309999995</v>
      </c>
      <c r="L36" s="120">
        <f t="shared" ref="L36:L59" si="6">G36+J36+K36</f>
        <v>1120369.9129711576</v>
      </c>
      <c r="M36" s="396">
        <f t="shared" si="4"/>
        <v>0.11203699129711576</v>
      </c>
      <c r="N36" s="314">
        <v>2032.739929186476</v>
      </c>
      <c r="O36" s="298">
        <f t="shared" si="2"/>
        <v>-165.80288741695767</v>
      </c>
      <c r="P36" s="303">
        <v>7309022.6107906215</v>
      </c>
      <c r="Q36" s="298">
        <f t="shared" si="3"/>
        <v>0.61886526978194634</v>
      </c>
      <c r="R36" s="256"/>
      <c r="T36" s="315"/>
    </row>
    <row r="37" spans="1:20" ht="13.9" customHeight="1" x14ac:dyDescent="0.2">
      <c r="B37" s="116">
        <v>2248</v>
      </c>
      <c r="C37" s="68">
        <v>16560</v>
      </c>
      <c r="D37" s="72" t="s">
        <v>127</v>
      </c>
      <c r="E37" s="174" t="s">
        <v>114</v>
      </c>
      <c r="F37" s="72"/>
      <c r="G37" s="33">
        <v>-18768293.830000021</v>
      </c>
      <c r="H37" s="186">
        <v>1907.5469999999989</v>
      </c>
      <c r="I37" s="33">
        <v>1139.3858624671379</v>
      </c>
      <c r="J37" s="358">
        <f t="shared" si="5"/>
        <v>2173432.0837916005</v>
      </c>
      <c r="K37" s="119">
        <f>_xlfn.IFNA(VLOOKUP("TOTAL OS 2248",Working!B:G,2,FALSE),0)</f>
        <v>10662086.506000001</v>
      </c>
      <c r="L37" s="120">
        <f t="shared" si="6"/>
        <v>-5932775.240208419</v>
      </c>
      <c r="M37" s="396">
        <f t="shared" si="4"/>
        <v>-0.59327752402084188</v>
      </c>
      <c r="N37" s="314">
        <v>1142.8560368251919</v>
      </c>
      <c r="O37" s="298">
        <f t="shared" si="2"/>
        <v>-3.4701743580540096</v>
      </c>
      <c r="P37" s="303">
        <v>675547.90160065331</v>
      </c>
      <c r="Q37" s="298">
        <f t="shared" si="3"/>
        <v>0.66083231418090727</v>
      </c>
      <c r="R37" s="256"/>
      <c r="T37" s="315"/>
    </row>
    <row r="38" spans="1:20" ht="13.9" customHeight="1" x14ac:dyDescent="0.2">
      <c r="B38" s="153">
        <v>2243</v>
      </c>
      <c r="C38" s="68">
        <v>16600</v>
      </c>
      <c r="D38" s="111">
        <v>42185</v>
      </c>
      <c r="E38" s="41" t="s">
        <v>105</v>
      </c>
      <c r="F38" s="72"/>
      <c r="G38" s="33">
        <v>0</v>
      </c>
      <c r="H38" s="186">
        <v>0</v>
      </c>
      <c r="I38" s="33">
        <v>0</v>
      </c>
      <c r="J38" s="358">
        <f t="shared" si="5"/>
        <v>0</v>
      </c>
      <c r="K38" s="119">
        <f>_xlfn.IFNA(VLOOKUP("TOTAL OS 2243",Working!B:G,2,FALSE),0)</f>
        <v>0</v>
      </c>
      <c r="L38" s="120">
        <f t="shared" si="6"/>
        <v>0</v>
      </c>
      <c r="M38" s="396">
        <f t="shared" si="4"/>
        <v>0</v>
      </c>
      <c r="N38" s="314">
        <v>0</v>
      </c>
      <c r="O38" s="298">
        <f t="shared" si="2"/>
        <v>0</v>
      </c>
      <c r="P38" s="303">
        <v>0</v>
      </c>
      <c r="Q38" s="298">
        <f t="shared" si="3"/>
        <v>0</v>
      </c>
      <c r="R38" s="256"/>
      <c r="T38" s="315"/>
    </row>
    <row r="39" spans="1:20" ht="13.9" customHeight="1" x14ac:dyDescent="0.2">
      <c r="B39" s="153">
        <v>2241</v>
      </c>
      <c r="C39" s="68">
        <v>16560</v>
      </c>
      <c r="D39" s="72" t="s">
        <v>125</v>
      </c>
      <c r="E39" s="41" t="s">
        <v>91</v>
      </c>
      <c r="F39" s="72">
        <v>42338</v>
      </c>
      <c r="G39" s="33">
        <v>1585761.7200000002</v>
      </c>
      <c r="H39" s="186">
        <v>0</v>
      </c>
      <c r="I39" s="33">
        <v>0</v>
      </c>
      <c r="J39" s="358">
        <f t="shared" si="5"/>
        <v>0</v>
      </c>
      <c r="K39" s="119">
        <f>_xlfn.IFNA(VLOOKUP("TOTAL OS 2241",Working!B:G,2,FALSE),0)</f>
        <v>0</v>
      </c>
      <c r="L39" s="120">
        <f t="shared" si="6"/>
        <v>1585761.7200000002</v>
      </c>
      <c r="M39" s="396">
        <f t="shared" si="4"/>
        <v>0.15857617200000002</v>
      </c>
      <c r="N39" s="314">
        <v>0</v>
      </c>
      <c r="O39" s="298">
        <f t="shared" si="2"/>
        <v>0</v>
      </c>
      <c r="P39" s="303">
        <v>1585761.7200000002</v>
      </c>
      <c r="Q39" s="298">
        <f t="shared" si="3"/>
        <v>0</v>
      </c>
      <c r="R39" s="256"/>
      <c r="T39" s="315"/>
    </row>
    <row r="40" spans="1:20" ht="13.9" customHeight="1" x14ac:dyDescent="0.2">
      <c r="B40" s="116">
        <v>1169</v>
      </c>
      <c r="C40" s="68">
        <v>16037</v>
      </c>
      <c r="D40" s="72" t="s">
        <v>126</v>
      </c>
      <c r="E40" s="174" t="s">
        <v>97</v>
      </c>
      <c r="F40" s="72">
        <v>41729</v>
      </c>
      <c r="G40" s="33">
        <v>-11237090.750000067</v>
      </c>
      <c r="H40" s="186">
        <v>435.20499999999987</v>
      </c>
      <c r="I40" s="33">
        <v>725.48816365976393</v>
      </c>
      <c r="J40" s="358">
        <f t="shared" si="5"/>
        <v>315736.07626554748</v>
      </c>
      <c r="K40" s="119">
        <f>_xlfn.IFNA(VLOOKUP("TOTAL OS 1169",Working!B:G,2,FALSE),0)</f>
        <v>11097600.9</v>
      </c>
      <c r="L40" s="169">
        <f t="shared" si="6"/>
        <v>176246.22626548074</v>
      </c>
      <c r="M40" s="396">
        <f t="shared" si="4"/>
        <v>1.7624622626548073E-2</v>
      </c>
      <c r="N40" s="314">
        <v>733.71536349207361</v>
      </c>
      <c r="O40" s="298">
        <f t="shared" si="2"/>
        <v>-8.2271998323096796</v>
      </c>
      <c r="P40" s="303">
        <v>265178.75050458126</v>
      </c>
      <c r="Q40" s="298">
        <f t="shared" si="3"/>
        <v>8.893252423910052E-3</v>
      </c>
      <c r="R40" s="256"/>
      <c r="T40" s="315"/>
    </row>
    <row r="41" spans="1:20" ht="13.9" customHeight="1" x14ac:dyDescent="0.2">
      <c r="B41" s="116">
        <v>3148</v>
      </c>
      <c r="C41" s="68">
        <v>16595</v>
      </c>
      <c r="D41" s="72" t="s">
        <v>133</v>
      </c>
      <c r="E41" s="174" t="s">
        <v>98</v>
      </c>
      <c r="F41" s="72">
        <v>42155</v>
      </c>
      <c r="G41" s="33">
        <v>-3765808.0799999954</v>
      </c>
      <c r="H41" s="186">
        <v>271.98700000000002</v>
      </c>
      <c r="I41" s="50">
        <v>1605.7021407480313</v>
      </c>
      <c r="J41" s="358">
        <f t="shared" si="5"/>
        <v>436730.10815563484</v>
      </c>
      <c r="K41" s="119">
        <f>_xlfn.IFNA(VLOOKUP("TOTAL OS 3148",Working!B:G,2,FALSE),0)</f>
        <v>2817949.7</v>
      </c>
      <c r="L41" s="120">
        <f t="shared" si="6"/>
        <v>-511128.27184436051</v>
      </c>
      <c r="M41" s="396">
        <f t="shared" si="4"/>
        <v>-5.1112827184436049E-2</v>
      </c>
      <c r="N41" s="314">
        <v>1787.8013539869783</v>
      </c>
      <c r="O41" s="317">
        <f t="shared" si="2"/>
        <v>-182.09921323894696</v>
      </c>
      <c r="P41" s="303">
        <v>-1343756.2369576641</v>
      </c>
      <c r="Q41" s="298">
        <f t="shared" si="3"/>
        <v>-8.3262796511330367E-2</v>
      </c>
      <c r="R41" s="256"/>
      <c r="T41" s="315"/>
    </row>
    <row r="42" spans="1:20" ht="13.9" customHeight="1" x14ac:dyDescent="0.2">
      <c r="B42" s="153">
        <v>1213</v>
      </c>
      <c r="C42" s="68">
        <v>16023</v>
      </c>
      <c r="D42" s="72" t="s">
        <v>125</v>
      </c>
      <c r="E42" s="41" t="s">
        <v>92</v>
      </c>
      <c r="F42" s="72">
        <v>41455</v>
      </c>
      <c r="G42" s="33">
        <v>55120.21</v>
      </c>
      <c r="H42" s="186">
        <v>0</v>
      </c>
      <c r="I42" s="33">
        <v>0</v>
      </c>
      <c r="J42" s="358">
        <f t="shared" si="5"/>
        <v>0</v>
      </c>
      <c r="K42" s="119">
        <f>_xlfn.IFNA(VLOOKUP("TOTAL OS 1213",Working!B:G,2,FALSE),0)</f>
        <v>0</v>
      </c>
      <c r="L42" s="120">
        <f t="shared" si="6"/>
        <v>55120.21</v>
      </c>
      <c r="M42" s="396">
        <f t="shared" si="4"/>
        <v>5.5120209999999998E-3</v>
      </c>
      <c r="N42" s="314">
        <v>0</v>
      </c>
      <c r="O42" s="298">
        <f t="shared" si="2"/>
        <v>0</v>
      </c>
      <c r="P42" s="303">
        <v>55120.21</v>
      </c>
      <c r="Q42" s="298">
        <f t="shared" si="3"/>
        <v>0</v>
      </c>
      <c r="R42" s="256"/>
      <c r="T42" s="315"/>
    </row>
    <row r="43" spans="1:20" ht="13.9" customHeight="1" x14ac:dyDescent="0.2">
      <c r="A43" s="197"/>
      <c r="B43" s="200">
        <v>1187</v>
      </c>
      <c r="C43" s="68">
        <v>16036</v>
      </c>
      <c r="D43" s="72">
        <v>43251</v>
      </c>
      <c r="E43" s="41" t="s">
        <v>116</v>
      </c>
      <c r="F43" s="72"/>
      <c r="G43" s="33">
        <v>-525073.39000000025</v>
      </c>
      <c r="H43" s="186">
        <v>0</v>
      </c>
      <c r="I43" s="33">
        <v>0</v>
      </c>
      <c r="J43" s="358">
        <f t="shared" si="5"/>
        <v>0</v>
      </c>
      <c r="K43" s="119">
        <f>_xlfn.IFNA(VLOOKUP("TOTAL OS 1187",Working!B:G,2,FALSE),0)</f>
        <v>0</v>
      </c>
      <c r="L43" s="120">
        <f t="shared" si="6"/>
        <v>-525073.39000000025</v>
      </c>
      <c r="M43" s="396">
        <f t="shared" si="4"/>
        <v>-5.2507339000000028E-2</v>
      </c>
      <c r="N43" s="314">
        <v>0</v>
      </c>
      <c r="O43" s="298">
        <f t="shared" si="2"/>
        <v>0</v>
      </c>
      <c r="P43" s="303">
        <v>-525073.39000000025</v>
      </c>
      <c r="Q43" s="298">
        <f t="shared" si="3"/>
        <v>0</v>
      </c>
      <c r="R43" s="256"/>
      <c r="T43" s="315"/>
    </row>
    <row r="44" spans="1:20" ht="13.9" customHeight="1" x14ac:dyDescent="0.2">
      <c r="B44" s="200">
        <v>3220</v>
      </c>
      <c r="C44" s="68">
        <v>16045</v>
      </c>
      <c r="D44" s="72">
        <v>43281</v>
      </c>
      <c r="E44" s="174" t="s">
        <v>117</v>
      </c>
      <c r="F44" s="72"/>
      <c r="G44" s="33">
        <v>-629455.6100000008</v>
      </c>
      <c r="H44" s="186">
        <v>162.28199999999998</v>
      </c>
      <c r="I44" s="33">
        <v>2698.02567096557</v>
      </c>
      <c r="J44" s="358">
        <f t="shared" si="5"/>
        <v>437841.00193563459</v>
      </c>
      <c r="K44" s="119">
        <f>_xlfn.IFNA(VLOOKUP("TOTAL OS 3220",Working!B:G,2,FALSE),0)</f>
        <v>765641.65261897934</v>
      </c>
      <c r="L44" s="169">
        <f t="shared" si="6"/>
        <v>574027.04455461306</v>
      </c>
      <c r="M44" s="396">
        <f t="shared" si="4"/>
        <v>5.7402704455461306E-2</v>
      </c>
      <c r="N44" s="314">
        <v>2634.6492291287827</v>
      </c>
      <c r="O44" s="314">
        <f t="shared" si="2"/>
        <v>63.376441836787308</v>
      </c>
      <c r="P44" s="303">
        <v>820268.3808019018</v>
      </c>
      <c r="Q44" s="298">
        <f t="shared" si="3"/>
        <v>2.4624133624728872E-2</v>
      </c>
      <c r="R44" s="256"/>
      <c r="T44" s="315"/>
    </row>
    <row r="45" spans="1:20" ht="13.9" customHeight="1" x14ac:dyDescent="0.2">
      <c r="B45" s="201">
        <v>1188</v>
      </c>
      <c r="C45" s="68">
        <v>16145</v>
      </c>
      <c r="D45" s="72">
        <v>43251</v>
      </c>
      <c r="E45" s="174" t="s">
        <v>158</v>
      </c>
      <c r="F45" s="72"/>
      <c r="G45" s="33">
        <v>-495950.87000000023</v>
      </c>
      <c r="H45" s="186">
        <v>2.5</v>
      </c>
      <c r="I45" s="33">
        <v>2261.3432835820895</v>
      </c>
      <c r="J45" s="358">
        <f t="shared" si="5"/>
        <v>5653.3582089552237</v>
      </c>
      <c r="K45" s="119">
        <f>_xlfn.IFNA(VLOOKUP("TOTAL OS 1188",Working!B:G,2,FALSE),0)</f>
        <v>38029.009999999995</v>
      </c>
      <c r="L45" s="169">
        <f t="shared" si="6"/>
        <v>-452268.50179104501</v>
      </c>
      <c r="M45" s="396">
        <f t="shared" si="4"/>
        <v>-4.5226850179104501E-2</v>
      </c>
      <c r="N45" s="314">
        <v>2136</v>
      </c>
      <c r="O45" s="314">
        <f t="shared" si="2"/>
        <v>125.3432835820895</v>
      </c>
      <c r="P45" s="303">
        <v>-437673.94799999997</v>
      </c>
      <c r="Q45" s="298">
        <f t="shared" si="3"/>
        <v>1.4594553791045036E-3</v>
      </c>
      <c r="R45" s="256"/>
      <c r="T45" s="315"/>
    </row>
    <row r="46" spans="1:20" ht="13.9" customHeight="1" x14ac:dyDescent="0.2">
      <c r="B46" s="154">
        <v>1267</v>
      </c>
      <c r="C46" s="164">
        <v>16037</v>
      </c>
      <c r="D46" s="72">
        <v>43281</v>
      </c>
      <c r="E46" s="174" t="s">
        <v>119</v>
      </c>
      <c r="F46" s="72"/>
      <c r="G46" s="33">
        <v>-2056166.3499999992</v>
      </c>
      <c r="H46" s="187">
        <v>0</v>
      </c>
      <c r="I46" s="33">
        <v>626.37387755102043</v>
      </c>
      <c r="J46" s="358">
        <f t="shared" si="5"/>
        <v>0</v>
      </c>
      <c r="K46" s="119">
        <f>_xlfn.IFNA(VLOOKUP("TOTAL OS 1267",Working!B:G,2,FALSE),0)</f>
        <v>230192.4</v>
      </c>
      <c r="L46" s="169">
        <f t="shared" si="6"/>
        <v>-1825973.9499999993</v>
      </c>
      <c r="M46" s="396">
        <f t="shared" si="4"/>
        <v>-0.18259739499999991</v>
      </c>
      <c r="N46" s="314">
        <v>0</v>
      </c>
      <c r="O46" s="298">
        <f t="shared" si="2"/>
        <v>626.37387755102043</v>
      </c>
      <c r="P46" s="303">
        <v>-1825606.3099999987</v>
      </c>
      <c r="Q46" s="298">
        <f t="shared" si="3"/>
        <v>3.6764000000059606E-5</v>
      </c>
      <c r="R46" s="256"/>
      <c r="T46" s="315"/>
    </row>
    <row r="47" spans="1:20" ht="13.9" customHeight="1" x14ac:dyDescent="0.2">
      <c r="B47" s="154">
        <v>2277</v>
      </c>
      <c r="C47" s="68">
        <v>16560</v>
      </c>
      <c r="D47" s="72"/>
      <c r="E47" s="41" t="s">
        <v>139</v>
      </c>
      <c r="F47" s="72"/>
      <c r="G47" s="33">
        <v>0</v>
      </c>
      <c r="H47" s="187">
        <v>0.215</v>
      </c>
      <c r="I47" s="33">
        <v>0</v>
      </c>
      <c r="J47" s="358">
        <f t="shared" si="5"/>
        <v>0</v>
      </c>
      <c r="K47" s="119">
        <f>_xlfn.IFNA(VLOOKUP("TOTAL OS 2277",Working!B:G,2,FALSE),0)</f>
        <v>0</v>
      </c>
      <c r="L47" s="120">
        <f t="shared" si="6"/>
        <v>0</v>
      </c>
      <c r="M47" s="396">
        <f t="shared" si="4"/>
        <v>0</v>
      </c>
      <c r="N47" s="314">
        <v>2411</v>
      </c>
      <c r="O47" s="298">
        <f t="shared" si="2"/>
        <v>-2411</v>
      </c>
      <c r="P47" s="303">
        <v>518.36500000000001</v>
      </c>
      <c r="Q47" s="298">
        <f t="shared" si="3"/>
        <v>5.1836500000000004E-5</v>
      </c>
      <c r="R47" s="256"/>
      <c r="T47" s="315"/>
    </row>
    <row r="48" spans="1:20" ht="13.9" customHeight="1" x14ac:dyDescent="0.2">
      <c r="B48" s="154">
        <v>2239</v>
      </c>
      <c r="C48" s="68">
        <v>16385</v>
      </c>
      <c r="D48" s="72">
        <v>43190</v>
      </c>
      <c r="E48" s="41" t="s">
        <v>70</v>
      </c>
      <c r="F48" s="72"/>
      <c r="G48" s="33">
        <v>-17267.349999999999</v>
      </c>
      <c r="H48" s="187">
        <v>0</v>
      </c>
      <c r="I48" s="33">
        <v>0</v>
      </c>
      <c r="J48" s="358">
        <f t="shared" si="5"/>
        <v>0</v>
      </c>
      <c r="K48" s="119">
        <f>_xlfn.IFNA(VLOOKUP("TOTAL OS 2239",Working!B:G,2,FALSE),0)</f>
        <v>0</v>
      </c>
      <c r="L48" s="169">
        <f t="shared" si="6"/>
        <v>-17267.349999999999</v>
      </c>
      <c r="M48" s="396">
        <f t="shared" si="4"/>
        <v>-1.7267349999999999E-3</v>
      </c>
      <c r="N48" s="314">
        <v>0</v>
      </c>
      <c r="O48" s="317">
        <f t="shared" si="2"/>
        <v>0</v>
      </c>
      <c r="P48" s="303">
        <v>-17267.349999999999</v>
      </c>
      <c r="Q48" s="298">
        <f t="shared" si="3"/>
        <v>0</v>
      </c>
      <c r="R48" s="256"/>
      <c r="T48" s="315"/>
    </row>
    <row r="49" spans="1:20" ht="13.9" customHeight="1" x14ac:dyDescent="0.2">
      <c r="B49" s="117">
        <v>1295</v>
      </c>
      <c r="C49" s="164">
        <v>16312</v>
      </c>
      <c r="D49" s="72"/>
      <c r="E49" s="174" t="s">
        <v>148</v>
      </c>
      <c r="F49" s="72"/>
      <c r="G49" s="33">
        <v>-14404891.57999998</v>
      </c>
      <c r="H49" s="187">
        <v>863.38699999999994</v>
      </c>
      <c r="I49" s="33">
        <v>715.24842105898585</v>
      </c>
      <c r="J49" s="358">
        <f t="shared" si="5"/>
        <v>617536.18851285463</v>
      </c>
      <c r="K49" s="119">
        <f>_xlfn.IFNA(VLOOKUP("TOTAL OS 1295",Working!B:G,2,FALSE),0)</f>
        <v>14191554.359999999</v>
      </c>
      <c r="L49" s="120">
        <f t="shared" si="6"/>
        <v>404198.9685128741</v>
      </c>
      <c r="M49" s="396">
        <f t="shared" si="4"/>
        <v>4.0419896851287412E-2</v>
      </c>
      <c r="N49" s="314">
        <v>712.19432995414581</v>
      </c>
      <c r="O49" s="298">
        <f t="shared" si="2"/>
        <v>3.0540911048400403</v>
      </c>
      <c r="P49" s="303">
        <v>3831568.4420140758</v>
      </c>
      <c r="Q49" s="298">
        <f t="shared" si="3"/>
        <v>0.34273694735012017</v>
      </c>
      <c r="R49" s="256"/>
      <c r="T49" s="315"/>
    </row>
    <row r="50" spans="1:20" ht="13.9" customHeight="1" x14ac:dyDescent="0.2">
      <c r="B50" s="117">
        <v>2025</v>
      </c>
      <c r="C50" s="68">
        <v>17191</v>
      </c>
      <c r="D50" s="72"/>
      <c r="E50" s="174" t="s">
        <v>142</v>
      </c>
      <c r="F50" s="72"/>
      <c r="G50" s="33">
        <v>-2562562.89</v>
      </c>
      <c r="H50" s="187">
        <v>70.138000000000005</v>
      </c>
      <c r="I50" s="33">
        <v>1349.4515907873752</v>
      </c>
      <c r="J50" s="358">
        <f t="shared" si="5"/>
        <v>94647.835674644928</v>
      </c>
      <c r="K50" s="119">
        <f>_xlfn.IFNA(VLOOKUP("TOTAL OS 2025",Working!B:G,2,FALSE),0)</f>
        <v>3071014.2250000001</v>
      </c>
      <c r="L50" s="120">
        <f t="shared" si="6"/>
        <v>603099.17067464488</v>
      </c>
      <c r="M50" s="396">
        <f t="shared" si="4"/>
        <v>6.030991706746449E-2</v>
      </c>
      <c r="N50" s="314">
        <v>1371.7946798626299</v>
      </c>
      <c r="O50" s="298">
        <f t="shared" si="2"/>
        <v>-22.343089075254738</v>
      </c>
      <c r="P50" s="303">
        <v>534791.58020265866</v>
      </c>
      <c r="Q50" s="298">
        <f t="shared" si="3"/>
        <v>-6.8307590471986214E-3</v>
      </c>
      <c r="R50" s="256"/>
      <c r="T50" s="315"/>
    </row>
    <row r="51" spans="1:20" ht="14.45" customHeight="1" x14ac:dyDescent="0.2">
      <c r="B51" s="117">
        <v>1291</v>
      </c>
      <c r="C51" s="164">
        <v>16685</v>
      </c>
      <c r="D51" s="72"/>
      <c r="E51" s="174" t="s">
        <v>154</v>
      </c>
      <c r="F51" s="72"/>
      <c r="G51" s="33">
        <v>-6434671.5300000003</v>
      </c>
      <c r="H51" s="187">
        <v>611.00099999999986</v>
      </c>
      <c r="I51" s="33">
        <v>1170.4011425993929</v>
      </c>
      <c r="J51" s="358">
        <f t="shared" si="5"/>
        <v>715116.26852937147</v>
      </c>
      <c r="K51" s="119">
        <f>_xlfn.IFNA(VLOOKUP("TOTAL OS 1291",Working!B:G,2,FALSE),0)</f>
        <v>6004609.29</v>
      </c>
      <c r="L51" s="120">
        <f t="shared" si="6"/>
        <v>285054.02852937113</v>
      </c>
      <c r="M51" s="396">
        <f t="shared" si="4"/>
        <v>2.8505402852937112E-2</v>
      </c>
      <c r="N51" s="314">
        <v>1168.0429851385672</v>
      </c>
      <c r="O51" s="298">
        <f t="shared" si="2"/>
        <v>2.3581574608256233</v>
      </c>
      <c r="P51" s="303">
        <v>589120.17023591511</v>
      </c>
      <c r="Q51" s="298">
        <f t="shared" si="3"/>
        <v>3.0406614170654399E-2</v>
      </c>
      <c r="R51" s="256"/>
      <c r="T51" s="315"/>
    </row>
    <row r="52" spans="1:20" ht="14.45" customHeight="1" x14ac:dyDescent="0.2">
      <c r="B52" s="283">
        <v>1192</v>
      </c>
      <c r="C52" s="164">
        <v>16686</v>
      </c>
      <c r="D52" s="72"/>
      <c r="E52" s="174" t="s">
        <v>161</v>
      </c>
      <c r="F52" s="72"/>
      <c r="G52" s="33">
        <v>-6693796.0700000068</v>
      </c>
      <c r="H52" s="187">
        <v>296.27199999999999</v>
      </c>
      <c r="I52" s="33">
        <v>2437.3460007014914</v>
      </c>
      <c r="J52" s="358">
        <f t="shared" si="5"/>
        <v>722117.37431983231</v>
      </c>
      <c r="K52" s="119">
        <f>_xlfn.IFNA(VLOOKUP("TOTAL OS 1192",Working!B:G,2,FALSE),0)</f>
        <v>6787004.8600000003</v>
      </c>
      <c r="L52" s="120">
        <f t="shared" si="6"/>
        <v>815326.16431982536</v>
      </c>
      <c r="M52" s="396">
        <f t="shared" si="4"/>
        <v>8.1532616431982535E-2</v>
      </c>
      <c r="N52" s="314">
        <v>2453.2802996409055</v>
      </c>
      <c r="O52" s="314">
        <f t="shared" si="2"/>
        <v>-15.93429893941402</v>
      </c>
      <c r="P52" s="303">
        <v>666908.95763474051</v>
      </c>
      <c r="Q52" s="298">
        <f t="shared" si="3"/>
        <v>-1.4841720668508486E-2</v>
      </c>
      <c r="R52" s="256"/>
      <c r="T52" s="315"/>
    </row>
    <row r="53" spans="1:20" ht="14.45" customHeight="1" x14ac:dyDescent="0.2">
      <c r="B53" s="117">
        <v>1171</v>
      </c>
      <c r="C53" s="164"/>
      <c r="D53" s="72"/>
      <c r="E53" s="41" t="s">
        <v>104</v>
      </c>
      <c r="F53" s="72"/>
      <c r="G53" s="33">
        <v>828.31999999999994</v>
      </c>
      <c r="H53" s="177">
        <v>50.019999999999996</v>
      </c>
      <c r="I53" s="33">
        <v>0</v>
      </c>
      <c r="J53" s="358">
        <f t="shared" si="5"/>
        <v>0</v>
      </c>
      <c r="K53" s="119">
        <f>_xlfn.IFNA(VLOOKUP("TOTAL OS 1171",Working!B:G,2,FALSE),0)</f>
        <v>0</v>
      </c>
      <c r="L53" s="120">
        <f t="shared" si="6"/>
        <v>828.31999999999994</v>
      </c>
      <c r="M53" s="396">
        <f t="shared" si="4"/>
        <v>8.2831999999999996E-5</v>
      </c>
      <c r="N53" s="314">
        <v>0</v>
      </c>
      <c r="O53" s="317">
        <f t="shared" si="2"/>
        <v>0</v>
      </c>
      <c r="P53" s="303">
        <v>828.31999999999994</v>
      </c>
      <c r="Q53" s="298">
        <f t="shared" si="3"/>
        <v>0</v>
      </c>
      <c r="R53" s="256"/>
      <c r="T53" s="315"/>
    </row>
    <row r="54" spans="1:20" ht="14.45" customHeight="1" x14ac:dyDescent="0.2">
      <c r="B54" s="117">
        <v>2111</v>
      </c>
      <c r="C54" s="164">
        <v>22008</v>
      </c>
      <c r="D54" s="72"/>
      <c r="E54" s="41" t="s">
        <v>168</v>
      </c>
      <c r="F54" s="72"/>
      <c r="G54" s="33">
        <v>-2329547.6999999993</v>
      </c>
      <c r="H54" s="187">
        <v>250.72200000000001</v>
      </c>
      <c r="I54" s="33">
        <v>372</v>
      </c>
      <c r="J54" s="358">
        <f t="shared" si="5"/>
        <v>93268.584000000003</v>
      </c>
      <c r="K54" s="119">
        <f>_xlfn.IFNA(VLOOKUP("TOTAL OS 2111",Working!B:G,2,FALSE),0)</f>
        <v>1338567.6000000001</v>
      </c>
      <c r="L54" s="120">
        <f t="shared" si="6"/>
        <v>-897711.51599999936</v>
      </c>
      <c r="M54" s="396">
        <f t="shared" si="4"/>
        <v>-8.9771151599999932E-2</v>
      </c>
      <c r="N54" s="314">
        <v>372</v>
      </c>
      <c r="O54" s="298">
        <f t="shared" si="2"/>
        <v>0</v>
      </c>
      <c r="P54" s="303">
        <v>-19463.025999999954</v>
      </c>
      <c r="Q54" s="298">
        <f t="shared" si="3"/>
        <v>8.7824848999999941E-2</v>
      </c>
      <c r="R54" s="256"/>
      <c r="T54" s="315"/>
    </row>
    <row r="55" spans="1:20" ht="14.45" customHeight="1" x14ac:dyDescent="0.2">
      <c r="B55" s="68">
        <v>4329</v>
      </c>
      <c r="C55" s="164">
        <v>30508</v>
      </c>
      <c r="D55" s="72"/>
      <c r="E55" s="41" t="s">
        <v>347</v>
      </c>
      <c r="F55" s="72"/>
      <c r="G55" s="33">
        <v>-2327.11</v>
      </c>
      <c r="H55" s="187">
        <v>1.575</v>
      </c>
      <c r="I55" s="33">
        <v>1845</v>
      </c>
      <c r="J55" s="358">
        <f t="shared" si="5"/>
        <v>2905.875</v>
      </c>
      <c r="K55" s="119">
        <f>_xlfn.IFNA(VLOOKUP("TOTAL OS 4329",[1]Working!B:G,2,FALSE),0)</f>
        <v>0</v>
      </c>
      <c r="L55" s="120">
        <f t="shared" si="6"/>
        <v>578.76499999999987</v>
      </c>
      <c r="M55" s="396"/>
      <c r="N55" s="314">
        <v>1845</v>
      </c>
      <c r="O55" s="298">
        <f t="shared" si="2"/>
        <v>0</v>
      </c>
      <c r="P55" s="318">
        <v>578.76499999999987</v>
      </c>
      <c r="Q55" s="298">
        <f>+(P55-L55)/10^7</f>
        <v>0</v>
      </c>
      <c r="R55" s="256"/>
      <c r="T55" s="315"/>
    </row>
    <row r="56" spans="1:20" ht="14.45" customHeight="1" x14ac:dyDescent="0.2">
      <c r="B56" s="68">
        <v>119</v>
      </c>
      <c r="C56" s="164">
        <v>17035</v>
      </c>
      <c r="D56" s="72"/>
      <c r="E56" s="41" t="s">
        <v>365</v>
      </c>
      <c r="F56" s="72"/>
      <c r="G56" s="33">
        <v>0</v>
      </c>
      <c r="H56" s="187">
        <v>0</v>
      </c>
      <c r="I56" s="33">
        <v>0</v>
      </c>
      <c r="J56" s="358">
        <f t="shared" si="5"/>
        <v>0</v>
      </c>
      <c r="K56" s="119">
        <f>_xlfn.IFNA(VLOOKUP("TOTAL OS 119",[1]Working!B:G,2,FALSE),0)</f>
        <v>0</v>
      </c>
      <c r="L56" s="120">
        <f t="shared" si="6"/>
        <v>0</v>
      </c>
      <c r="M56" s="396"/>
      <c r="N56" s="324">
        <v>0</v>
      </c>
      <c r="O56" s="298"/>
      <c r="P56" s="318">
        <v>0</v>
      </c>
      <c r="Q56" s="298"/>
      <c r="R56" s="256"/>
      <c r="T56" s="315"/>
    </row>
    <row r="57" spans="1:20" ht="14.45" customHeight="1" x14ac:dyDescent="0.2">
      <c r="B57" s="68">
        <v>3171</v>
      </c>
      <c r="C57" s="164">
        <v>16715</v>
      </c>
      <c r="D57" s="72"/>
      <c r="E57" s="41" t="s">
        <v>392</v>
      </c>
      <c r="F57" s="72"/>
      <c r="G57" s="33">
        <v>-46470</v>
      </c>
      <c r="H57" s="187">
        <v>0</v>
      </c>
      <c r="I57" s="33">
        <v>0</v>
      </c>
      <c r="J57" s="358">
        <f t="shared" si="5"/>
        <v>0</v>
      </c>
      <c r="K57" s="119">
        <f>_xlfn.IFNA(VLOOKUP("TOTAL OS 3171",[1]Working!B:G,2,FALSE),0)</f>
        <v>0</v>
      </c>
      <c r="L57" s="120">
        <f t="shared" si="6"/>
        <v>-46470</v>
      </c>
      <c r="M57" s="396"/>
      <c r="N57" s="324">
        <v>0</v>
      </c>
      <c r="O57" s="298"/>
      <c r="P57" s="318">
        <v>-16905.25</v>
      </c>
      <c r="Q57" s="298"/>
      <c r="R57" s="256"/>
      <c r="T57" s="315"/>
    </row>
    <row r="58" spans="1:20" ht="14.45" customHeight="1" x14ac:dyDescent="0.2">
      <c r="B58" s="68">
        <v>2266</v>
      </c>
      <c r="C58" s="164">
        <v>16560</v>
      </c>
      <c r="D58" s="72"/>
      <c r="E58" s="41" t="s">
        <v>393</v>
      </c>
      <c r="F58" s="72"/>
      <c r="G58" s="33">
        <v>-2261327.12</v>
      </c>
      <c r="H58" s="357">
        <v>183.93700000000001</v>
      </c>
      <c r="I58" s="33">
        <v>2094</v>
      </c>
      <c r="J58" s="358">
        <f t="shared" si="5"/>
        <v>385164.07800000004</v>
      </c>
      <c r="K58" s="119">
        <f>_xlfn.IFNA(VLOOKUP("TOTAL OS 2266",[1]Working!B:G,2,FALSE),0)</f>
        <v>0</v>
      </c>
      <c r="L58" s="120">
        <f t="shared" si="6"/>
        <v>-1876163.0420000001</v>
      </c>
      <c r="M58" s="396"/>
      <c r="N58" s="324">
        <v>0</v>
      </c>
      <c r="O58" s="298"/>
      <c r="P58" s="318">
        <v>-627399.98999999987</v>
      </c>
      <c r="Q58" s="298"/>
      <c r="R58" s="256"/>
      <c r="T58" s="315"/>
    </row>
    <row r="59" spans="1:20" ht="14.45" customHeight="1" x14ac:dyDescent="0.2">
      <c r="B59" s="68">
        <v>2286</v>
      </c>
      <c r="C59" s="164">
        <v>16695</v>
      </c>
      <c r="D59" s="72"/>
      <c r="E59" s="41" t="s">
        <v>389</v>
      </c>
      <c r="F59" s="72"/>
      <c r="G59" s="33">
        <v>-4964.8</v>
      </c>
      <c r="H59" s="187">
        <v>0</v>
      </c>
      <c r="I59" s="33">
        <v>0</v>
      </c>
      <c r="J59" s="358">
        <f t="shared" si="5"/>
        <v>0</v>
      </c>
      <c r="K59" s="119">
        <f>_xlfn.IFNA(VLOOKUP("TOTAL OS 2286",[1]Working!B:G,2,FALSE),0)</f>
        <v>0</v>
      </c>
      <c r="L59" s="120">
        <f t="shared" si="6"/>
        <v>-4964.8</v>
      </c>
      <c r="M59" s="396"/>
      <c r="N59" s="324">
        <v>0</v>
      </c>
      <c r="O59" s="298"/>
      <c r="P59" s="318">
        <v>0</v>
      </c>
      <c r="Q59" s="298"/>
      <c r="R59" s="256"/>
      <c r="T59" s="315"/>
    </row>
    <row r="60" spans="1:20" ht="14.45" customHeight="1" x14ac:dyDescent="0.2">
      <c r="B60" s="190" t="s">
        <v>11</v>
      </c>
      <c r="C60" s="191"/>
      <c r="D60" s="191"/>
      <c r="E60" s="192"/>
      <c r="F60" s="193"/>
      <c r="G60" s="194">
        <f t="shared" ref="G60:L60" si="7">SUM(G4:G56)</f>
        <v>-447905107.95000094</v>
      </c>
      <c r="H60" s="194">
        <f t="shared" si="7"/>
        <v>25675.954999999994</v>
      </c>
      <c r="I60" s="194">
        <f t="shared" si="7"/>
        <v>68532.748312633412</v>
      </c>
      <c r="J60" s="194">
        <f t="shared" si="7"/>
        <v>39498806.870117687</v>
      </c>
      <c r="K60" s="194">
        <f t="shared" si="7"/>
        <v>537853591.31745458</v>
      </c>
      <c r="L60" s="194">
        <f t="shared" si="7"/>
        <v>129447290.23757137</v>
      </c>
      <c r="M60" s="396">
        <f t="shared" si="4"/>
        <v>12.944729023757137</v>
      </c>
      <c r="N60" s="194">
        <f>SUM(N4:N59)</f>
        <v>71314.75681517247</v>
      </c>
      <c r="O60" s="194">
        <f>SUM(O4:O59)</f>
        <v>-2782.0085025390758</v>
      </c>
      <c r="P60" s="194">
        <f>SUM(P4:P59)</f>
        <v>107120546.31134799</v>
      </c>
      <c r="Q60" s="400">
        <f>SUM(Q4:Q56)</f>
        <v>-2.1682438686223366</v>
      </c>
      <c r="R60" s="315"/>
      <c r="S60" s="396"/>
      <c r="T60" s="315"/>
    </row>
    <row r="61" spans="1:20" ht="15.6" customHeight="1" x14ac:dyDescent="0.2">
      <c r="A61" s="93"/>
      <c r="B61" s="68">
        <v>1116</v>
      </c>
      <c r="C61" s="68">
        <v>16030</v>
      </c>
      <c r="D61" s="72" t="s">
        <v>125</v>
      </c>
      <c r="E61" s="174" t="s">
        <v>48</v>
      </c>
      <c r="F61" s="33"/>
      <c r="G61" s="33">
        <v>-123024233.46999991</v>
      </c>
      <c r="H61" s="186">
        <v>3494.5569999999998</v>
      </c>
      <c r="I61" s="33">
        <v>4271.9565397671504</v>
      </c>
      <c r="J61" s="358">
        <f t="shared" ref="J61:J76" si="8">H61*I61</f>
        <v>14928595.629739072</v>
      </c>
      <c r="K61" s="119">
        <f>_xlfn.IFNA(VLOOKUP("TOTAL OS 1116",Working!B:G,2,FALSE),0)</f>
        <v>60766886.987681597</v>
      </c>
      <c r="L61" s="169">
        <f t="shared" ref="L61:L76" si="9">G61+J61+K61</f>
        <v>-47328750.852579236</v>
      </c>
      <c r="M61" s="397">
        <f t="shared" si="4"/>
        <v>-4.7328750852579233</v>
      </c>
      <c r="N61" s="320">
        <v>4214.5648724908142</v>
      </c>
      <c r="O61" s="293">
        <f t="shared" ref="O61:O76" si="10">+I61-N61</f>
        <v>57.391667276336193</v>
      </c>
      <c r="P61" s="292">
        <v>-65509640.723190874</v>
      </c>
      <c r="Q61" s="293">
        <f t="shared" ref="Q61:Q78" si="11">+(P61-L61)/10^7</f>
        <v>-1.8180889870611638</v>
      </c>
      <c r="R61" s="256"/>
      <c r="T61" s="315"/>
    </row>
    <row r="62" spans="1:20" x14ac:dyDescent="0.2">
      <c r="A62" s="93"/>
      <c r="B62" s="112">
        <v>1184</v>
      </c>
      <c r="C62" s="68">
        <v>16030</v>
      </c>
      <c r="D62" s="72" t="s">
        <v>125</v>
      </c>
      <c r="E62" s="41" t="s">
        <v>48</v>
      </c>
      <c r="F62" s="33"/>
      <c r="G62" s="33">
        <v>793866.94999999925</v>
      </c>
      <c r="H62" s="186">
        <v>284.48599999999999</v>
      </c>
      <c r="I62" s="33">
        <v>744</v>
      </c>
      <c r="J62" s="358">
        <f t="shared" si="8"/>
        <v>211657.584</v>
      </c>
      <c r="K62" s="119">
        <f>_xlfn.IFNA(VLOOKUP("TOTAL OS 1184",Working!B:G,2,FALSE),0)</f>
        <v>411137.23000000004</v>
      </c>
      <c r="L62" s="169">
        <f t="shared" si="9"/>
        <v>1416661.7639999993</v>
      </c>
      <c r="M62" s="396">
        <f t="shared" si="4"/>
        <v>0.14166617639999993</v>
      </c>
      <c r="N62" s="320">
        <v>744</v>
      </c>
      <c r="O62" s="298">
        <f t="shared" si="10"/>
        <v>0</v>
      </c>
      <c r="P62" s="303">
        <v>-16822204.890000001</v>
      </c>
      <c r="Q62" s="298">
        <f t="shared" si="11"/>
        <v>-1.8238866653999999</v>
      </c>
      <c r="R62" s="256"/>
      <c r="T62" s="315"/>
    </row>
    <row r="63" spans="1:20" x14ac:dyDescent="0.2">
      <c r="B63" s="112">
        <v>1254</v>
      </c>
      <c r="C63" s="68">
        <v>16545</v>
      </c>
      <c r="D63" s="72">
        <v>43281</v>
      </c>
      <c r="E63" s="174" t="s">
        <v>72</v>
      </c>
      <c r="F63" s="33"/>
      <c r="G63" s="33">
        <v>-18501145.590000011</v>
      </c>
      <c r="H63" s="186">
        <v>312.13900000000007</v>
      </c>
      <c r="I63" s="33">
        <v>3140.1721101125936</v>
      </c>
      <c r="J63" s="358">
        <f t="shared" si="8"/>
        <v>980170.1822784351</v>
      </c>
      <c r="K63" s="119">
        <f>_xlfn.IFNA(VLOOKUP("TOTAL OS 1254",Working!B:G,2,FALSE),0)</f>
        <v>17318594.850000001</v>
      </c>
      <c r="L63" s="34">
        <f t="shared" si="9"/>
        <v>-202380.55772157386</v>
      </c>
      <c r="M63" s="396">
        <f t="shared" si="4"/>
        <v>-2.0238055772157384E-2</v>
      </c>
      <c r="N63" s="320">
        <v>3141.2098019198429</v>
      </c>
      <c r="O63" s="298">
        <f t="shared" si="10"/>
        <v>-1.0376918072493027</v>
      </c>
      <c r="P63" s="303">
        <v>4561948.4925116859</v>
      </c>
      <c r="Q63" s="298">
        <f t="shared" si="11"/>
        <v>0.47643290502332597</v>
      </c>
      <c r="R63" s="256"/>
      <c r="T63" s="315"/>
    </row>
    <row r="64" spans="1:20" x14ac:dyDescent="0.2">
      <c r="A64" s="76" t="s">
        <v>167</v>
      </c>
      <c r="B64" s="112">
        <v>1129</v>
      </c>
      <c r="C64" s="68">
        <v>16235</v>
      </c>
      <c r="D64" s="111">
        <v>43281</v>
      </c>
      <c r="E64" s="174" t="s">
        <v>73</v>
      </c>
      <c r="F64" s="33"/>
      <c r="G64" s="33">
        <v>-112589914.71999995</v>
      </c>
      <c r="H64" s="186">
        <v>2933.1239999999989</v>
      </c>
      <c r="I64" s="33">
        <v>2932.9968621242274</v>
      </c>
      <c r="J64" s="358">
        <f t="shared" si="8"/>
        <v>8602843.4882212598</v>
      </c>
      <c r="K64" s="33">
        <f>_xlfn.IFNA(VLOOKUP("TOTAL OS 1129",Working!B:G,2,FALSE),0)</f>
        <v>90144186</v>
      </c>
      <c r="L64" s="34">
        <f t="shared" si="9"/>
        <v>-13842885.231778696</v>
      </c>
      <c r="M64" s="397">
        <f t="shared" si="4"/>
        <v>-1.3842885231778697</v>
      </c>
      <c r="N64" s="320">
        <v>2883.4897850050347</v>
      </c>
      <c r="O64" s="298">
        <f t="shared" si="10"/>
        <v>49.507077119192672</v>
      </c>
      <c r="P64" s="303">
        <v>-22097715.671534076</v>
      </c>
      <c r="Q64" s="298">
        <f t="shared" si="11"/>
        <v>-0.82548304397553807</v>
      </c>
      <c r="R64" s="256"/>
      <c r="T64" s="315"/>
    </row>
    <row r="65" spans="1:26" x14ac:dyDescent="0.2">
      <c r="A65" s="118"/>
      <c r="B65" s="112">
        <v>3138</v>
      </c>
      <c r="C65" s="68">
        <v>16460</v>
      </c>
      <c r="D65" s="72" t="s">
        <v>125</v>
      </c>
      <c r="E65" s="174" t="s">
        <v>12</v>
      </c>
      <c r="F65" s="33"/>
      <c r="G65" s="33">
        <v>-103574418.23000014</v>
      </c>
      <c r="H65" s="186">
        <v>1477.644</v>
      </c>
      <c r="I65" s="33">
        <v>2640.9519835677843</v>
      </c>
      <c r="J65" s="358">
        <f t="shared" si="8"/>
        <v>3902386.8528070352</v>
      </c>
      <c r="K65" s="119">
        <f>_xlfn.IFNA(VLOOKUP("TOTAL OS 3138",Working!B:G,2,FALSE),0)</f>
        <v>93583781.609999999</v>
      </c>
      <c r="L65" s="34">
        <f t="shared" si="9"/>
        <v>-6088249.7671931088</v>
      </c>
      <c r="M65" s="398">
        <f t="shared" si="4"/>
        <v>-0.60882497671931091</v>
      </c>
      <c r="N65" s="320">
        <v>2641.3573758286743</v>
      </c>
      <c r="O65" s="298">
        <f t="shared" si="10"/>
        <v>-0.40539226089003932</v>
      </c>
      <c r="P65" s="303">
        <v>-12004362.173829444</v>
      </c>
      <c r="Q65" s="298">
        <f t="shared" si="11"/>
        <v>-0.59161124066363346</v>
      </c>
      <c r="R65" s="256"/>
      <c r="T65" s="315"/>
    </row>
    <row r="66" spans="1:26" x14ac:dyDescent="0.2">
      <c r="B66" s="112">
        <v>3411</v>
      </c>
      <c r="C66" s="68">
        <v>16326</v>
      </c>
      <c r="D66" s="72" t="s">
        <v>136</v>
      </c>
      <c r="E66" s="174" t="s">
        <v>74</v>
      </c>
      <c r="F66" s="33"/>
      <c r="G66" s="33">
        <v>-27792168.810000006</v>
      </c>
      <c r="H66" s="186">
        <v>1317.1019999999999</v>
      </c>
      <c r="I66" s="33">
        <v>4073.0000000000005</v>
      </c>
      <c r="J66" s="358">
        <f t="shared" si="8"/>
        <v>5364556.4460000005</v>
      </c>
      <c r="K66" s="119">
        <f>_xlfn.IFNA(VLOOKUP("TOTAL OS 3411",Working!B:G,2,FALSE),0)</f>
        <v>20961145.670000002</v>
      </c>
      <c r="L66" s="34">
        <f t="shared" si="9"/>
        <v>-1466466.6940000057</v>
      </c>
      <c r="M66" s="396">
        <f t="shared" si="4"/>
        <v>-0.14664666940000057</v>
      </c>
      <c r="N66" s="320">
        <v>4115</v>
      </c>
      <c r="O66" s="298">
        <f t="shared" si="10"/>
        <v>-41.999999999999545</v>
      </c>
      <c r="P66" s="303">
        <v>-1611043.2400000095</v>
      </c>
      <c r="Q66" s="298">
        <f t="shared" si="11"/>
        <v>-1.4457654600000381E-2</v>
      </c>
      <c r="R66" s="256"/>
      <c r="T66" s="315"/>
    </row>
    <row r="67" spans="1:26" x14ac:dyDescent="0.2">
      <c r="B67" s="112">
        <v>1228</v>
      </c>
      <c r="C67" s="68">
        <v>16023</v>
      </c>
      <c r="D67" s="72" t="s">
        <v>136</v>
      </c>
      <c r="E67" s="174" t="s">
        <v>14</v>
      </c>
      <c r="F67" s="33"/>
      <c r="G67" s="33">
        <v>-34022957.31000001</v>
      </c>
      <c r="H67" s="186">
        <v>225.06</v>
      </c>
      <c r="I67" s="33">
        <v>3024.9873779829868</v>
      </c>
      <c r="J67" s="358">
        <f t="shared" si="8"/>
        <v>680803.65928885096</v>
      </c>
      <c r="K67" s="119">
        <f>_xlfn.IFNA(VLOOKUP("TOTAL OS 1228",Working!B:G,2,FALSE),0)</f>
        <v>35344188.879999995</v>
      </c>
      <c r="L67" s="34">
        <f t="shared" si="9"/>
        <v>2002035.2292888351</v>
      </c>
      <c r="M67" s="398">
        <f t="shared" si="4"/>
        <v>0.20020352292888352</v>
      </c>
      <c r="N67" s="320">
        <v>2584</v>
      </c>
      <c r="O67" s="298">
        <f t="shared" si="10"/>
        <v>440.9873779829868</v>
      </c>
      <c r="P67" s="303">
        <v>-7402286.5960000083</v>
      </c>
      <c r="Q67" s="298">
        <f t="shared" si="11"/>
        <v>-0.94043218252888439</v>
      </c>
      <c r="R67" s="256"/>
      <c r="T67" s="315"/>
    </row>
    <row r="68" spans="1:26" x14ac:dyDescent="0.2">
      <c r="B68" s="112">
        <v>1253</v>
      </c>
      <c r="C68" s="68">
        <v>16520</v>
      </c>
      <c r="D68" s="72" t="s">
        <v>132</v>
      </c>
      <c r="E68" s="174" t="s">
        <v>15</v>
      </c>
      <c r="F68" s="33"/>
      <c r="G68" s="33">
        <v>-40061030.44000005</v>
      </c>
      <c r="H68" s="186">
        <v>591.52799999999991</v>
      </c>
      <c r="I68" s="33">
        <v>2875.5645346250494</v>
      </c>
      <c r="J68" s="358">
        <f t="shared" si="8"/>
        <v>1700976.938037686</v>
      </c>
      <c r="K68" s="119">
        <f>_xlfn.IFNA(VLOOKUP("TOTAL OS 1253",Working!B:G,2,FALSE),0)</f>
        <v>36189554.059999995</v>
      </c>
      <c r="L68" s="34">
        <f t="shared" si="9"/>
        <v>-2170499.4419623688</v>
      </c>
      <c r="M68" s="396">
        <f t="shared" si="4"/>
        <v>-0.21704994419623688</v>
      </c>
      <c r="N68" s="320">
        <v>2875.7304119690848</v>
      </c>
      <c r="O68" s="298">
        <f t="shared" si="10"/>
        <v>-0.16587734403537979</v>
      </c>
      <c r="P68" s="303">
        <v>-4279997.6055449694</v>
      </c>
      <c r="Q68" s="298">
        <f t="shared" si="11"/>
        <v>-0.21094981635826007</v>
      </c>
      <c r="R68" s="256"/>
      <c r="T68" s="315"/>
    </row>
    <row r="69" spans="1:26" ht="13.9" customHeight="1" x14ac:dyDescent="0.2">
      <c r="B69" s="68">
        <v>3448</v>
      </c>
      <c r="C69" s="68">
        <v>17180</v>
      </c>
      <c r="D69" s="72" t="s">
        <v>138</v>
      </c>
      <c r="E69" s="41" t="s">
        <v>137</v>
      </c>
      <c r="F69" s="33"/>
      <c r="G69" s="33">
        <v>-41827.229999999996</v>
      </c>
      <c r="H69" s="186">
        <v>0</v>
      </c>
      <c r="I69" s="33">
        <v>0</v>
      </c>
      <c r="J69" s="358">
        <f t="shared" si="8"/>
        <v>0</v>
      </c>
      <c r="K69" s="119">
        <f>_xlfn.IFNA(VLOOKUP("TOTAL OS 3448",Working!B:G,2,FALSE),0)</f>
        <v>635622.36</v>
      </c>
      <c r="L69" s="34">
        <f t="shared" si="9"/>
        <v>593795.13</v>
      </c>
      <c r="M69" s="396">
        <f t="shared" si="4"/>
        <v>5.9379513000000002E-2</v>
      </c>
      <c r="N69" s="320">
        <v>0</v>
      </c>
      <c r="O69" s="298">
        <f t="shared" si="10"/>
        <v>0</v>
      </c>
      <c r="P69" s="303">
        <v>-3331001.4400000037</v>
      </c>
      <c r="Q69" s="298">
        <f t="shared" si="11"/>
        <v>-0.39247965700000037</v>
      </c>
      <c r="R69" s="256"/>
      <c r="T69" s="315"/>
    </row>
    <row r="70" spans="1:26" x14ac:dyDescent="0.2">
      <c r="B70" s="112">
        <v>4641</v>
      </c>
      <c r="C70" s="68">
        <v>17065</v>
      </c>
      <c r="D70" s="72" t="s">
        <v>134</v>
      </c>
      <c r="E70" s="41" t="s">
        <v>128</v>
      </c>
      <c r="F70" s="33"/>
      <c r="G70" s="33">
        <v>-31051.199999999983</v>
      </c>
      <c r="H70" s="186">
        <v>0</v>
      </c>
      <c r="I70" s="33">
        <v>0</v>
      </c>
      <c r="J70" s="358">
        <f t="shared" si="8"/>
        <v>0</v>
      </c>
      <c r="K70" s="119">
        <f>_xlfn.IFNA(VLOOKUP("TOTAL OS 4641",Working!B:G,2,FALSE),0)</f>
        <v>0</v>
      </c>
      <c r="L70" s="34">
        <f t="shared" si="9"/>
        <v>-31051.199999999983</v>
      </c>
      <c r="M70" s="396">
        <f t="shared" si="4"/>
        <v>-3.1051199999999981E-3</v>
      </c>
      <c r="N70" s="320">
        <v>0</v>
      </c>
      <c r="O70" s="298">
        <f t="shared" si="10"/>
        <v>0</v>
      </c>
      <c r="P70" s="303">
        <v>-31051.199999999983</v>
      </c>
      <c r="Q70" s="298">
        <f t="shared" si="11"/>
        <v>0</v>
      </c>
      <c r="R70" s="256"/>
      <c r="T70" s="315"/>
    </row>
    <row r="71" spans="1:26" ht="13.9" customHeight="1" x14ac:dyDescent="0.2">
      <c r="B71" s="117">
        <v>4134</v>
      </c>
      <c r="C71" s="68">
        <v>17321</v>
      </c>
      <c r="D71" s="72"/>
      <c r="E71" s="41" t="s">
        <v>141</v>
      </c>
      <c r="F71" s="72"/>
      <c r="G71" s="33">
        <v>-1675995.1999999997</v>
      </c>
      <c r="H71" s="186">
        <v>12.563999999999997</v>
      </c>
      <c r="I71" s="33">
        <v>8800</v>
      </c>
      <c r="J71" s="358">
        <f t="shared" si="8"/>
        <v>110563.19999999997</v>
      </c>
      <c r="K71" s="119">
        <f>_xlfn.IFNA(VLOOKUP("TOTAL OS 4134",Working!B:G,2,FALSE),0)</f>
        <v>929236</v>
      </c>
      <c r="L71" s="34">
        <f t="shared" si="9"/>
        <v>-636195.99999999977</v>
      </c>
      <c r="M71" s="396">
        <f>L71/10^7</f>
        <v>-6.3619599999999971E-2</v>
      </c>
      <c r="N71" s="320">
        <v>8800</v>
      </c>
      <c r="O71" s="298">
        <f t="shared" si="10"/>
        <v>0</v>
      </c>
      <c r="P71" s="303">
        <v>-627132</v>
      </c>
      <c r="Q71" s="298">
        <f t="shared" si="11"/>
        <v>9.0639999999997671E-4</v>
      </c>
      <c r="R71" s="256"/>
      <c r="T71" s="315"/>
    </row>
    <row r="72" spans="1:26" x14ac:dyDescent="0.2">
      <c r="B72" s="112">
        <v>4131</v>
      </c>
      <c r="C72" s="68">
        <v>17145</v>
      </c>
      <c r="D72" s="72" t="s">
        <v>124</v>
      </c>
      <c r="E72" s="41" t="s">
        <v>135</v>
      </c>
      <c r="F72" s="33"/>
      <c r="G72" s="33">
        <v>-839634.39999999991</v>
      </c>
      <c r="H72" s="186">
        <v>28.021000000000001</v>
      </c>
      <c r="I72" s="33">
        <v>8800</v>
      </c>
      <c r="J72" s="358">
        <f t="shared" si="8"/>
        <v>246584.80000000002</v>
      </c>
      <c r="K72" s="119">
        <f>_xlfn.IFNA(VLOOKUP("TOTAL OS 4131",Working!B:G,2,FALSE),0)</f>
        <v>288200</v>
      </c>
      <c r="L72" s="34">
        <f t="shared" si="9"/>
        <v>-304849.59999999986</v>
      </c>
      <c r="M72" s="396">
        <f t="shared" si="4"/>
        <v>-3.0484959999999985E-2</v>
      </c>
      <c r="N72" s="320">
        <v>8800</v>
      </c>
      <c r="O72" s="298">
        <f t="shared" si="10"/>
        <v>0</v>
      </c>
      <c r="P72" s="303">
        <v>598.39999999990687</v>
      </c>
      <c r="Q72" s="298">
        <f>+(P72-L72)/10^7</f>
        <v>3.0544799999999976E-2</v>
      </c>
      <c r="R72" s="256"/>
      <c r="T72" s="315"/>
    </row>
    <row r="73" spans="1:26" s="77" customFormat="1" x14ac:dyDescent="0.2">
      <c r="A73" s="76"/>
      <c r="B73" s="112">
        <v>2217</v>
      </c>
      <c r="C73" s="68">
        <v>16485</v>
      </c>
      <c r="D73" s="72" t="s">
        <v>124</v>
      </c>
      <c r="E73" s="41" t="s">
        <v>70</v>
      </c>
      <c r="F73" s="33"/>
      <c r="G73" s="33">
        <v>0</v>
      </c>
      <c r="H73" s="186">
        <v>0</v>
      </c>
      <c r="I73" s="33">
        <v>0</v>
      </c>
      <c r="J73" s="358">
        <f t="shared" si="8"/>
        <v>0</v>
      </c>
      <c r="K73" s="119">
        <f>_xlfn.IFNA(VLOOKUP("TOTAL OS 2217",Working!B:G,2,FALSE),0)</f>
        <v>0</v>
      </c>
      <c r="L73" s="169">
        <f t="shared" si="9"/>
        <v>0</v>
      </c>
      <c r="M73" s="396">
        <f t="shared" si="4"/>
        <v>0</v>
      </c>
      <c r="N73" s="320">
        <v>0</v>
      </c>
      <c r="O73" s="298">
        <f t="shared" si="10"/>
        <v>0</v>
      </c>
      <c r="P73" s="303">
        <v>0</v>
      </c>
      <c r="Q73" s="298">
        <f t="shared" si="11"/>
        <v>0</v>
      </c>
      <c r="R73" s="256"/>
      <c r="T73" s="315"/>
      <c r="Z73" s="181"/>
    </row>
    <row r="74" spans="1:26" s="77" customFormat="1" x14ac:dyDescent="0.2">
      <c r="A74" s="76"/>
      <c r="B74" s="112">
        <v>4423</v>
      </c>
      <c r="C74" s="68" t="s">
        <v>152</v>
      </c>
      <c r="D74" s="72"/>
      <c r="E74" s="41" t="s">
        <v>140</v>
      </c>
      <c r="F74" s="33"/>
      <c r="G74" s="33">
        <v>-26102.399999999994</v>
      </c>
      <c r="H74" s="186">
        <v>0</v>
      </c>
      <c r="I74" s="33">
        <v>0</v>
      </c>
      <c r="J74" s="358">
        <f t="shared" si="8"/>
        <v>0</v>
      </c>
      <c r="K74" s="119">
        <f>_xlfn.IFNA(VLOOKUP("TOTAL OS 4423",Working!B:G,2,FALSE),0)</f>
        <v>0</v>
      </c>
      <c r="L74" s="34">
        <f t="shared" si="9"/>
        <v>-26102.399999999994</v>
      </c>
      <c r="M74" s="396">
        <f t="shared" si="4"/>
        <v>-2.6102399999999993E-3</v>
      </c>
      <c r="N74" s="320">
        <v>0</v>
      </c>
      <c r="O74" s="298">
        <f t="shared" si="10"/>
        <v>0</v>
      </c>
      <c r="P74" s="303">
        <v>-26102.399999999994</v>
      </c>
      <c r="Q74" s="298">
        <f t="shared" si="11"/>
        <v>0</v>
      </c>
      <c r="R74" s="256"/>
      <c r="T74" s="315"/>
      <c r="Z74" s="181"/>
    </row>
    <row r="75" spans="1:26" s="77" customFormat="1" x14ac:dyDescent="0.2">
      <c r="A75" s="76"/>
      <c r="B75" s="112">
        <v>2026</v>
      </c>
      <c r="C75" s="68">
        <v>17272</v>
      </c>
      <c r="D75" s="72"/>
      <c r="E75" s="41" t="s">
        <v>153</v>
      </c>
      <c r="F75" s="33"/>
      <c r="G75" s="33">
        <v>-6460.8000000000029</v>
      </c>
      <c r="H75" s="186">
        <v>0</v>
      </c>
      <c r="I75" s="33">
        <v>0</v>
      </c>
      <c r="J75" s="358">
        <f t="shared" si="8"/>
        <v>0</v>
      </c>
      <c r="K75" s="119">
        <f>_xlfn.IFNA(VLOOKUP("TOTAL OS 2026",Working!B:G,2,FALSE),0)</f>
        <v>0</v>
      </c>
      <c r="L75" s="34">
        <f t="shared" si="9"/>
        <v>-6460.8000000000029</v>
      </c>
      <c r="M75" s="396">
        <f t="shared" si="4"/>
        <v>-6.4608000000000027E-4</v>
      </c>
      <c r="N75" s="320">
        <v>0</v>
      </c>
      <c r="O75" s="298">
        <f t="shared" si="10"/>
        <v>0</v>
      </c>
      <c r="P75" s="303">
        <v>-6460.8000000000029</v>
      </c>
      <c r="Q75" s="298">
        <f t="shared" si="11"/>
        <v>0</v>
      </c>
      <c r="R75" s="256"/>
      <c r="T75" s="315"/>
      <c r="Z75" s="181"/>
    </row>
    <row r="76" spans="1:26" s="77" customFormat="1" ht="13.5" thickBot="1" x14ac:dyDescent="0.25">
      <c r="A76" s="76"/>
      <c r="B76" s="112">
        <v>3445</v>
      </c>
      <c r="C76" s="68">
        <v>17300</v>
      </c>
      <c r="D76" s="72"/>
      <c r="E76" s="41" t="s">
        <v>157</v>
      </c>
      <c r="F76" s="33"/>
      <c r="G76" s="33">
        <v>5830.4000000000042</v>
      </c>
      <c r="H76" s="186">
        <v>0</v>
      </c>
      <c r="I76" s="33">
        <v>0</v>
      </c>
      <c r="J76" s="358">
        <f t="shared" si="8"/>
        <v>0</v>
      </c>
      <c r="K76" s="119">
        <f>_xlfn.IFNA(VLOOKUP("TOTAL OS 3445",Working!B:G,2,FALSE),0)</f>
        <v>0</v>
      </c>
      <c r="L76" s="34">
        <f t="shared" si="9"/>
        <v>5830.4000000000042</v>
      </c>
      <c r="M76" s="396">
        <f t="shared" si="4"/>
        <v>5.8304000000000038E-4</v>
      </c>
      <c r="N76" s="320">
        <v>0</v>
      </c>
      <c r="O76" s="298">
        <f t="shared" si="10"/>
        <v>0</v>
      </c>
      <c r="P76" s="303">
        <v>5830.4000000000042</v>
      </c>
      <c r="Q76" s="298">
        <f t="shared" si="11"/>
        <v>0</v>
      </c>
      <c r="R76" s="256"/>
      <c r="T76" s="315"/>
      <c r="Z76" s="181"/>
    </row>
    <row r="77" spans="1:26" s="77" customFormat="1" ht="14.45" customHeight="1" thickBot="1" x14ac:dyDescent="0.25">
      <c r="B77" s="190" t="s">
        <v>16</v>
      </c>
      <c r="C77" s="190"/>
      <c r="D77" s="190"/>
      <c r="E77" s="195"/>
      <c r="F77" s="196"/>
      <c r="G77" s="194">
        <f t="shared" ref="G77:L77" si="12">SUM(G61:G76)</f>
        <v>-461387242.45000005</v>
      </c>
      <c r="H77" s="194">
        <f t="shared" si="12"/>
        <v>10676.225</v>
      </c>
      <c r="I77" s="194">
        <f t="shared" si="12"/>
        <v>41303.629408179797</v>
      </c>
      <c r="J77" s="194">
        <f t="shared" si="12"/>
        <v>36729138.780372344</v>
      </c>
      <c r="K77" s="194">
        <f t="shared" si="12"/>
        <v>356572533.64768165</v>
      </c>
      <c r="L77" s="194">
        <f t="shared" si="12"/>
        <v>-68085570.021946147</v>
      </c>
      <c r="M77" s="396">
        <f t="shared" si="4"/>
        <v>-6.8085570021946147</v>
      </c>
      <c r="N77" s="319">
        <f>SUM(N61:N76)</f>
        <v>40799.35224721345</v>
      </c>
      <c r="O77" s="316">
        <f>SUM(O61:O76)</f>
        <v>504.2771609663414</v>
      </c>
      <c r="P77" s="319">
        <f>SUM(P61:P76)</f>
        <v>-129180621.44758768</v>
      </c>
      <c r="Q77" s="316">
        <f t="shared" si="11"/>
        <v>-6.1095051425641538</v>
      </c>
      <c r="R77" s="321"/>
      <c r="T77" s="315"/>
      <c r="Z77" s="181"/>
    </row>
    <row r="78" spans="1:26" s="77" customFormat="1" ht="13.9" customHeight="1" x14ac:dyDescent="0.2">
      <c r="B78" s="90" t="s">
        <v>17</v>
      </c>
      <c r="C78" s="90"/>
      <c r="D78" s="90"/>
      <c r="E78" s="134"/>
      <c r="F78" s="91"/>
      <c r="G78" s="105">
        <f t="shared" ref="G78:L78" si="13">G60+G77</f>
        <v>-909292350.40000105</v>
      </c>
      <c r="H78" s="105">
        <f t="shared" si="13"/>
        <v>36352.179999999993</v>
      </c>
      <c r="I78" s="105">
        <f t="shared" si="13"/>
        <v>109836.37772081321</v>
      </c>
      <c r="J78" s="105">
        <f t="shared" si="13"/>
        <v>76227945.650490031</v>
      </c>
      <c r="K78" s="105">
        <f t="shared" si="13"/>
        <v>894426124.96513629</v>
      </c>
      <c r="L78" s="105">
        <f t="shared" si="13"/>
        <v>61361720.215625226</v>
      </c>
      <c r="M78" s="396">
        <f t="shared" si="4"/>
        <v>6.1361720215625226</v>
      </c>
      <c r="N78" s="322">
        <f>N60+N77</f>
        <v>112114.10906238592</v>
      </c>
      <c r="O78" s="254"/>
      <c r="P78" s="322">
        <f>P60+P77</f>
        <v>-22060075.136239693</v>
      </c>
      <c r="Q78" s="316">
        <f t="shared" si="11"/>
        <v>-8.3421795351864922</v>
      </c>
      <c r="R78" s="321"/>
      <c r="Z78" s="181"/>
    </row>
    <row r="79" spans="1:26" s="77" customFormat="1" ht="14.45" customHeight="1" x14ac:dyDescent="0.2">
      <c r="B79" s="85"/>
      <c r="C79" s="85"/>
      <c r="D79" s="85"/>
      <c r="E79" s="137"/>
      <c r="F79" s="86"/>
      <c r="G79" s="98"/>
      <c r="H79" s="121"/>
      <c r="I79" s="98"/>
      <c r="J79" s="50"/>
      <c r="K79" s="142" t="s">
        <v>151</v>
      </c>
      <c r="L79" s="141">
        <f>(G78+J78+K78)-L78</f>
        <v>5.9604644775390625E-8</v>
      </c>
      <c r="P79" s="256"/>
      <c r="Z79" s="181"/>
    </row>
  </sheetData>
  <autoFilter ref="B3:S83" xr:uid="{00000000-0009-0000-0000-000000000000}"/>
  <pageMargins left="0.70866141732283472" right="0.70866141732283472" top="0.74803149606299213" bottom="0.74803149606299213" header="0.31496062992125984" footer="0.31496062992125984"/>
  <pageSetup scale="11" orientation="landscape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M620"/>
  <sheetViews>
    <sheetView showGridLines="0" zoomScaleNormal="100" workbookViewId="0">
      <selection activeCell="B5" sqref="B5"/>
    </sheetView>
  </sheetViews>
  <sheetFormatPr defaultColWidth="9.140625" defaultRowHeight="12.75" x14ac:dyDescent="0.2"/>
  <cols>
    <col min="1" max="1" width="13.5703125" style="53" customWidth="1"/>
    <col min="2" max="2" width="67.140625" style="53" customWidth="1"/>
    <col min="3" max="3" width="22.5703125" style="95" customWidth="1"/>
    <col min="4" max="4" width="17.7109375" style="53" customWidth="1"/>
    <col min="5" max="5" width="24.5703125" style="53" bestFit="1" customWidth="1"/>
    <col min="6" max="6" width="15.140625" style="53" customWidth="1"/>
    <col min="7" max="7" width="16.42578125" style="53" bestFit="1" customWidth="1"/>
    <col min="8" max="8" width="14.28515625" style="53" customWidth="1"/>
    <col min="9" max="9" width="16.5703125" style="53" customWidth="1"/>
    <col min="10" max="10" width="16.85546875" style="53" customWidth="1"/>
    <col min="11" max="11" width="14.28515625" style="53" customWidth="1"/>
    <col min="12" max="12" width="14.5703125" style="53" customWidth="1"/>
    <col min="13" max="13" width="14.28515625" style="53" customWidth="1"/>
    <col min="14" max="14" width="14.5703125" style="53" customWidth="1"/>
    <col min="15" max="16" width="12.140625" style="53" customWidth="1"/>
    <col min="17" max="16384" width="9.140625" style="53"/>
  </cols>
  <sheetData>
    <row r="1" spans="1:13" ht="39" x14ac:dyDescent="0.25">
      <c r="A1" s="53">
        <f>_xlfn.IFNA(MATCH("PLANT 3445",B:B,0),0)</f>
        <v>552</v>
      </c>
      <c r="C1" s="259" t="s">
        <v>349</v>
      </c>
      <c r="D1" s="259" t="s">
        <v>348</v>
      </c>
      <c r="E1" s="53" t="s">
        <v>350</v>
      </c>
      <c r="J1" s="108"/>
      <c r="L1" s="82"/>
      <c r="M1" s="82"/>
    </row>
    <row r="2" spans="1:13" x14ac:dyDescent="0.2">
      <c r="A2" s="53">
        <f>_xlfn.IFNA(MATCH("TOTAL OS 3445",B:B,0),0)</f>
        <v>555</v>
      </c>
      <c r="B2" s="96" t="s">
        <v>82</v>
      </c>
      <c r="I2" s="82"/>
      <c r="J2" s="80"/>
      <c r="L2" s="82"/>
    </row>
    <row r="3" spans="1:13" x14ac:dyDescent="0.2">
      <c r="B3" s="96"/>
      <c r="I3" s="82"/>
      <c r="J3" s="328"/>
      <c r="L3" s="82"/>
    </row>
    <row r="4" spans="1:13" x14ac:dyDescent="0.2">
      <c r="B4" s="96"/>
      <c r="I4" s="82"/>
      <c r="J4" s="328"/>
      <c r="L4" s="82"/>
    </row>
    <row r="5" spans="1:13" x14ac:dyDescent="0.2">
      <c r="A5" s="53" t="s">
        <v>360</v>
      </c>
      <c r="B5" s="332" t="s">
        <v>390</v>
      </c>
      <c r="C5" s="252" t="s">
        <v>79</v>
      </c>
      <c r="D5" s="183" t="s">
        <v>130</v>
      </c>
      <c r="E5" s="183" t="s">
        <v>129</v>
      </c>
      <c r="F5" s="183"/>
      <c r="G5" s="183" t="s">
        <v>76</v>
      </c>
    </row>
    <row r="6" spans="1:13" x14ac:dyDescent="0.2">
      <c r="B6" s="130"/>
      <c r="C6" s="34"/>
      <c r="D6" s="132"/>
      <c r="E6" s="132"/>
      <c r="F6" s="132"/>
      <c r="G6" s="132"/>
    </row>
    <row r="7" spans="1:13" x14ac:dyDescent="0.2">
      <c r="B7" s="130" t="s">
        <v>457</v>
      </c>
      <c r="C7" s="34"/>
      <c r="D7" s="132">
        <v>0</v>
      </c>
      <c r="E7" s="132">
        <v>0</v>
      </c>
      <c r="F7" s="132"/>
      <c r="G7" s="136">
        <f>SUM(C7:F7)</f>
        <v>0</v>
      </c>
      <c r="H7" s="53">
        <v>28270.2</v>
      </c>
    </row>
    <row r="8" spans="1:13" x14ac:dyDescent="0.2">
      <c r="B8" s="182" t="s">
        <v>391</v>
      </c>
      <c r="C8" s="34">
        <f>SUM(C6:C7)</f>
        <v>0</v>
      </c>
      <c r="D8" s="132">
        <f>SUM(D6:D7)</f>
        <v>0</v>
      </c>
      <c r="E8" s="132">
        <f>SUM(E6:E7)</f>
        <v>0</v>
      </c>
      <c r="F8" s="132"/>
      <c r="G8" s="132">
        <f>SUM(G6:G7)</f>
        <v>0</v>
      </c>
    </row>
    <row r="9" spans="1:13" x14ac:dyDescent="0.2">
      <c r="B9" s="96"/>
    </row>
    <row r="10" spans="1:13" x14ac:dyDescent="0.2">
      <c r="B10" s="96"/>
    </row>
    <row r="11" spans="1:13" x14ac:dyDescent="0.2">
      <c r="B11" s="332" t="s">
        <v>387</v>
      </c>
      <c r="C11" s="252" t="s">
        <v>79</v>
      </c>
      <c r="D11" s="183" t="s">
        <v>130</v>
      </c>
      <c r="E11" s="183" t="s">
        <v>129</v>
      </c>
      <c r="F11" s="183"/>
      <c r="G11" s="183" t="s">
        <v>76</v>
      </c>
    </row>
    <row r="12" spans="1:13" x14ac:dyDescent="0.2">
      <c r="B12" s="130"/>
      <c r="C12" s="34"/>
      <c r="D12" s="132"/>
      <c r="E12" s="132"/>
      <c r="F12" s="132"/>
      <c r="G12" s="132"/>
    </row>
    <row r="13" spans="1:13" x14ac:dyDescent="0.2">
      <c r="B13" s="130" t="s">
        <v>485</v>
      </c>
      <c r="C13" s="34">
        <v>96345.15</v>
      </c>
      <c r="D13" s="132">
        <v>5780.7089999999998</v>
      </c>
      <c r="E13" s="132">
        <v>5780.7089999999998</v>
      </c>
      <c r="F13" s="132"/>
      <c r="G13" s="136">
        <f t="shared" ref="G13:G18" si="0">SUM(C13:F13)</f>
        <v>107906.568</v>
      </c>
    </row>
    <row r="14" spans="1:13" x14ac:dyDescent="0.2">
      <c r="B14" s="130" t="s">
        <v>486</v>
      </c>
      <c r="C14" s="34">
        <v>240240.15</v>
      </c>
      <c r="D14" s="132">
        <v>14414.409</v>
      </c>
      <c r="E14" s="132">
        <v>14414.409</v>
      </c>
      <c r="F14" s="132"/>
      <c r="G14" s="136">
        <f t="shared" si="0"/>
        <v>269068.96799999999</v>
      </c>
    </row>
    <row r="15" spans="1:13" x14ac:dyDescent="0.2">
      <c r="B15" s="130" t="s">
        <v>487</v>
      </c>
      <c r="C15" s="34">
        <v>8046</v>
      </c>
      <c r="D15" s="132">
        <v>482.76</v>
      </c>
      <c r="E15" s="132">
        <v>482.76</v>
      </c>
      <c r="F15" s="132"/>
      <c r="G15" s="136">
        <f t="shared" si="0"/>
        <v>9011.52</v>
      </c>
    </row>
    <row r="16" spans="1:13" x14ac:dyDescent="0.2">
      <c r="B16" s="130" t="s">
        <v>488</v>
      </c>
      <c r="C16" s="34">
        <v>19746.3</v>
      </c>
      <c r="D16" s="132">
        <v>1184.778</v>
      </c>
      <c r="E16" s="132">
        <v>1184.778</v>
      </c>
      <c r="F16" s="132"/>
      <c r="G16" s="136">
        <f t="shared" si="0"/>
        <v>22115.855999999996</v>
      </c>
    </row>
    <row r="17" spans="1:8" x14ac:dyDescent="0.2">
      <c r="B17" s="130" t="s">
        <v>489</v>
      </c>
      <c r="C17" s="34">
        <v>476976.38</v>
      </c>
      <c r="D17" s="132">
        <v>28618.5828</v>
      </c>
      <c r="E17" s="132">
        <v>28618.5828</v>
      </c>
      <c r="F17" s="132"/>
      <c r="G17" s="136">
        <f t="shared" si="0"/>
        <v>534213.54559999995</v>
      </c>
    </row>
    <row r="18" spans="1:8" x14ac:dyDescent="0.2">
      <c r="B18" s="130" t="s">
        <v>490</v>
      </c>
      <c r="C18" s="34">
        <v>1480213.81</v>
      </c>
      <c r="D18" s="132">
        <v>88812.828599999993</v>
      </c>
      <c r="E18" s="132">
        <v>88812.828599999993</v>
      </c>
      <c r="F18" s="132"/>
      <c r="G18" s="136">
        <f t="shared" si="0"/>
        <v>1657839.4671999998</v>
      </c>
    </row>
    <row r="19" spans="1:8" x14ac:dyDescent="0.2">
      <c r="B19" s="182" t="s">
        <v>388</v>
      </c>
      <c r="C19" s="34">
        <f>SUM(C12:C18)</f>
        <v>2321567.79</v>
      </c>
      <c r="D19" s="132">
        <f>SUM(D12:D18)</f>
        <v>139294.0674</v>
      </c>
      <c r="E19" s="132">
        <f>SUM(E12:E18)</f>
        <v>139294.0674</v>
      </c>
      <c r="F19" s="132"/>
      <c r="G19" s="132">
        <f>SUM(G12:G18)</f>
        <v>2600155.9247999997</v>
      </c>
    </row>
    <row r="20" spans="1:8" x14ac:dyDescent="0.2">
      <c r="B20" s="96"/>
    </row>
    <row r="21" spans="1:8" x14ac:dyDescent="0.2">
      <c r="B21" s="96"/>
    </row>
    <row r="22" spans="1:8" x14ac:dyDescent="0.2">
      <c r="B22" s="332" t="s">
        <v>394</v>
      </c>
      <c r="C22" s="252" t="s">
        <v>79</v>
      </c>
      <c r="D22" s="183" t="s">
        <v>130</v>
      </c>
      <c r="E22" s="183" t="s">
        <v>129</v>
      </c>
      <c r="F22" s="183"/>
      <c r="G22" s="183" t="s">
        <v>76</v>
      </c>
    </row>
    <row r="23" spans="1:8" x14ac:dyDescent="0.2">
      <c r="B23" s="130"/>
      <c r="C23" s="34"/>
      <c r="D23" s="132"/>
      <c r="E23" s="132"/>
      <c r="F23" s="132"/>
      <c r="G23" s="132"/>
    </row>
    <row r="24" spans="1:8" x14ac:dyDescent="0.2">
      <c r="B24" s="130" t="s">
        <v>483</v>
      </c>
      <c r="C24" s="34">
        <v>2951.8</v>
      </c>
      <c r="D24" s="132">
        <v>177.108</v>
      </c>
      <c r="E24" s="132">
        <v>177.108</v>
      </c>
      <c r="F24" s="132"/>
      <c r="G24" s="136">
        <f>SUM(C24:F24)</f>
        <v>3306.0160000000005</v>
      </c>
    </row>
    <row r="25" spans="1:8" x14ac:dyDescent="0.2">
      <c r="B25" s="130" t="s">
        <v>484</v>
      </c>
      <c r="C25" s="34">
        <v>57517.5</v>
      </c>
      <c r="D25" s="132">
        <v>3451.05</v>
      </c>
      <c r="E25" s="132">
        <v>3451.05</v>
      </c>
      <c r="F25" s="132"/>
      <c r="G25" s="136">
        <f>SUM(C25:F25)</f>
        <v>64419.600000000006</v>
      </c>
    </row>
    <row r="26" spans="1:8" x14ac:dyDescent="0.2">
      <c r="B26" s="182" t="s">
        <v>395</v>
      </c>
      <c r="C26" s="34">
        <f>SUM(C23:C25)</f>
        <v>60469.3</v>
      </c>
      <c r="D26" s="132">
        <f>SUM(D23:D25)</f>
        <v>3628.1580000000004</v>
      </c>
      <c r="E26" s="132">
        <f>SUM(E23:E25)</f>
        <v>3628.1580000000004</v>
      </c>
      <c r="F26" s="132"/>
      <c r="G26" s="132">
        <f>SUM(G23:G25)</f>
        <v>67725.616000000009</v>
      </c>
    </row>
    <row r="27" spans="1:8" x14ac:dyDescent="0.2">
      <c r="B27" s="96"/>
    </row>
    <row r="28" spans="1:8" x14ac:dyDescent="0.2">
      <c r="B28" s="96"/>
    </row>
    <row r="29" spans="1:8" x14ac:dyDescent="0.2">
      <c r="A29" s="53" t="s">
        <v>360</v>
      </c>
      <c r="B29" s="182" t="s">
        <v>374</v>
      </c>
      <c r="C29" s="252" t="s">
        <v>79</v>
      </c>
      <c r="D29" s="183" t="s">
        <v>130</v>
      </c>
      <c r="E29" s="183" t="s">
        <v>129</v>
      </c>
      <c r="F29" s="183"/>
      <c r="G29" s="183" t="s">
        <v>76</v>
      </c>
    </row>
    <row r="30" spans="1:8" x14ac:dyDescent="0.2">
      <c r="B30" s="130"/>
      <c r="C30" s="34"/>
      <c r="D30" s="132"/>
      <c r="E30" s="132"/>
      <c r="F30" s="132"/>
      <c r="G30" s="132"/>
    </row>
    <row r="31" spans="1:8" x14ac:dyDescent="0.2">
      <c r="B31" s="182" t="s">
        <v>375</v>
      </c>
      <c r="C31" s="285">
        <f>SUM(C30:C30)</f>
        <v>0</v>
      </c>
      <c r="D31" s="286">
        <f>SUM(D30:D30)</f>
        <v>0</v>
      </c>
      <c r="E31" s="286">
        <f>SUM(E30:E30)</f>
        <v>0</v>
      </c>
      <c r="F31" s="286"/>
      <c r="G31" s="286">
        <f>SUM(G30:G30)</f>
        <v>0</v>
      </c>
      <c r="H31" s="284">
        <v>0</v>
      </c>
    </row>
    <row r="32" spans="1:8" x14ac:dyDescent="0.2">
      <c r="B32" s="96"/>
    </row>
    <row r="33" spans="2:8" x14ac:dyDescent="0.2">
      <c r="B33" s="96"/>
    </row>
    <row r="34" spans="2:8" x14ac:dyDescent="0.2">
      <c r="B34" s="182" t="s">
        <v>339</v>
      </c>
      <c r="C34" s="252" t="s">
        <v>79</v>
      </c>
      <c r="D34" s="183" t="s">
        <v>130</v>
      </c>
      <c r="E34" s="183" t="s">
        <v>129</v>
      </c>
      <c r="F34" s="183"/>
      <c r="G34" s="183" t="s">
        <v>76</v>
      </c>
    </row>
    <row r="35" spans="2:8" x14ac:dyDescent="0.2">
      <c r="B35" s="130"/>
      <c r="C35" s="261"/>
      <c r="D35" s="132"/>
      <c r="E35" s="132"/>
      <c r="F35" s="132"/>
      <c r="G35" s="132"/>
      <c r="H35" s="287"/>
    </row>
    <row r="36" spans="2:8" x14ac:dyDescent="0.2">
      <c r="B36" s="182" t="s">
        <v>340</v>
      </c>
      <c r="C36" s="285">
        <f>SUM(C35:C35)</f>
        <v>0</v>
      </c>
      <c r="D36" s="286">
        <f>SUM(D35:D35)</f>
        <v>0</v>
      </c>
      <c r="E36" s="286">
        <f>SUM(E35:E35)</f>
        <v>0</v>
      </c>
      <c r="F36" s="286"/>
      <c r="G36" s="286">
        <f>SUM(G35:G35)</f>
        <v>0</v>
      </c>
      <c r="H36" s="284">
        <v>86612.288</v>
      </c>
    </row>
    <row r="37" spans="2:8" x14ac:dyDescent="0.2">
      <c r="B37" s="96"/>
    </row>
    <row r="38" spans="2:8" x14ac:dyDescent="0.2">
      <c r="B38" s="96"/>
    </row>
    <row r="39" spans="2:8" x14ac:dyDescent="0.2">
      <c r="B39" s="182" t="s">
        <v>337</v>
      </c>
      <c r="C39" s="252" t="s">
        <v>79</v>
      </c>
      <c r="D39" s="183" t="s">
        <v>130</v>
      </c>
      <c r="E39" s="183" t="s">
        <v>129</v>
      </c>
      <c r="F39" s="183"/>
      <c r="G39" s="183" t="s">
        <v>76</v>
      </c>
    </row>
    <row r="40" spans="2:8" x14ac:dyDescent="0.2">
      <c r="B40" s="130"/>
      <c r="C40" s="303"/>
      <c r="D40" s="132"/>
      <c r="E40" s="132"/>
      <c r="F40" s="132"/>
      <c r="G40" s="132"/>
      <c r="H40" s="287"/>
    </row>
    <row r="41" spans="2:8" x14ac:dyDescent="0.2">
      <c r="B41" s="182" t="s">
        <v>338</v>
      </c>
      <c r="C41" s="34">
        <f>SUM(C40:C40)</f>
        <v>0</v>
      </c>
      <c r="D41" s="132">
        <f>SUM(D40:D40)</f>
        <v>0</v>
      </c>
      <c r="E41" s="132">
        <f>SUM(E40:E40)</f>
        <v>0</v>
      </c>
      <c r="F41" s="132"/>
      <c r="G41" s="132">
        <f>SUM(G40:G40)</f>
        <v>0</v>
      </c>
    </row>
    <row r="42" spans="2:8" x14ac:dyDescent="0.2">
      <c r="B42" s="96"/>
    </row>
    <row r="43" spans="2:8" x14ac:dyDescent="0.2">
      <c r="B43" s="96"/>
    </row>
    <row r="44" spans="2:8" x14ac:dyDescent="0.2">
      <c r="B44" s="182" t="s">
        <v>335</v>
      </c>
      <c r="C44" s="252" t="s">
        <v>79</v>
      </c>
      <c r="D44" s="183" t="s">
        <v>130</v>
      </c>
      <c r="E44" s="183" t="s">
        <v>129</v>
      </c>
      <c r="F44" s="183"/>
      <c r="G44" s="183" t="s">
        <v>76</v>
      </c>
    </row>
    <row r="45" spans="2:8" x14ac:dyDescent="0.2">
      <c r="B45" s="130"/>
      <c r="C45" s="303"/>
      <c r="D45" s="132"/>
      <c r="E45" s="132"/>
      <c r="F45" s="132"/>
      <c r="G45" s="132"/>
      <c r="H45" s="287"/>
    </row>
    <row r="46" spans="2:8" x14ac:dyDescent="0.2">
      <c r="B46" s="182" t="s">
        <v>336</v>
      </c>
      <c r="C46" s="34">
        <f>SUM(C45:C45)</f>
        <v>0</v>
      </c>
      <c r="D46" s="132">
        <f>SUM(D45:D45)</f>
        <v>0</v>
      </c>
      <c r="E46" s="132">
        <f>SUM(E45:E45)</f>
        <v>0</v>
      </c>
      <c r="F46" s="132"/>
      <c r="G46" s="132">
        <f>SUM(G45:G45)</f>
        <v>0</v>
      </c>
    </row>
    <row r="47" spans="2:8" x14ac:dyDescent="0.2">
      <c r="B47" s="96"/>
    </row>
    <row r="48" spans="2:8" x14ac:dyDescent="0.2">
      <c r="B48" s="96"/>
    </row>
    <row r="49" spans="1:8" x14ac:dyDescent="0.2">
      <c r="B49" s="182" t="s">
        <v>333</v>
      </c>
      <c r="C49" s="252" t="s">
        <v>79</v>
      </c>
      <c r="D49" s="183" t="s">
        <v>130</v>
      </c>
      <c r="E49" s="183" t="s">
        <v>129</v>
      </c>
      <c r="F49" s="183"/>
      <c r="G49" s="183" t="s">
        <v>76</v>
      </c>
    </row>
    <row r="50" spans="1:8" x14ac:dyDescent="0.2">
      <c r="B50" s="130"/>
      <c r="C50" s="303"/>
      <c r="D50" s="132"/>
      <c r="E50" s="132"/>
      <c r="F50" s="132"/>
      <c r="G50" s="132"/>
      <c r="H50" s="287"/>
    </row>
    <row r="51" spans="1:8" x14ac:dyDescent="0.2">
      <c r="B51" s="182" t="s">
        <v>334</v>
      </c>
      <c r="C51" s="34">
        <f>SUM(C50:C50)</f>
        <v>0</v>
      </c>
      <c r="D51" s="132">
        <f>SUM(D50:D50)</f>
        <v>0</v>
      </c>
      <c r="E51" s="132">
        <f>SUM(E50:E50)</f>
        <v>0</v>
      </c>
      <c r="F51" s="132"/>
      <c r="G51" s="132">
        <f>SUM(G50:G50)</f>
        <v>0</v>
      </c>
    </row>
    <row r="52" spans="1:8" x14ac:dyDescent="0.2">
      <c r="B52" s="96"/>
    </row>
    <row r="53" spans="1:8" x14ac:dyDescent="0.2">
      <c r="B53" s="96"/>
      <c r="H53" s="65"/>
    </row>
    <row r="54" spans="1:8" x14ac:dyDescent="0.2">
      <c r="B54" s="182" t="s">
        <v>331</v>
      </c>
      <c r="C54" s="252" t="s">
        <v>79</v>
      </c>
      <c r="D54" s="183" t="s">
        <v>130</v>
      </c>
      <c r="E54" s="183" t="s">
        <v>129</v>
      </c>
      <c r="F54" s="183"/>
      <c r="G54" s="183" t="s">
        <v>76</v>
      </c>
    </row>
    <row r="55" spans="1:8" x14ac:dyDescent="0.2">
      <c r="B55" s="130"/>
      <c r="C55" s="303"/>
      <c r="D55" s="132"/>
      <c r="E55" s="132"/>
      <c r="F55" s="132"/>
      <c r="G55" s="132"/>
      <c r="H55" s="287"/>
    </row>
    <row r="56" spans="1:8" x14ac:dyDescent="0.2">
      <c r="B56" s="182" t="s">
        <v>332</v>
      </c>
      <c r="C56" s="34">
        <f>SUM(C55:C55)</f>
        <v>0</v>
      </c>
      <c r="D56" s="132">
        <f>SUM(D55:D55)</f>
        <v>0</v>
      </c>
      <c r="E56" s="132">
        <f>SUM(E55:E55)</f>
        <v>0</v>
      </c>
      <c r="F56" s="132"/>
      <c r="G56" s="132">
        <f>SUM(G55:G55)</f>
        <v>0</v>
      </c>
      <c r="H56" s="65"/>
    </row>
    <row r="57" spans="1:8" x14ac:dyDescent="0.2">
      <c r="B57" s="96"/>
      <c r="H57" s="65"/>
    </row>
    <row r="58" spans="1:8" x14ac:dyDescent="0.2">
      <c r="B58" s="96"/>
      <c r="H58" s="65"/>
    </row>
    <row r="59" spans="1:8" x14ac:dyDescent="0.2">
      <c r="A59" s="57" t="s">
        <v>360</v>
      </c>
      <c r="B59" s="182" t="s">
        <v>329</v>
      </c>
      <c r="C59" s="252" t="s">
        <v>79</v>
      </c>
      <c r="D59" s="183" t="s">
        <v>130</v>
      </c>
      <c r="E59" s="183" t="s">
        <v>129</v>
      </c>
      <c r="F59" s="183"/>
      <c r="G59" s="183" t="s">
        <v>76</v>
      </c>
      <c r="H59" s="80"/>
    </row>
    <row r="60" spans="1:8" x14ac:dyDescent="0.2">
      <c r="B60" s="130"/>
      <c r="C60" s="303"/>
      <c r="D60" s="132"/>
      <c r="E60" s="132"/>
      <c r="F60" s="132"/>
      <c r="G60" s="132"/>
      <c r="H60" s="287"/>
    </row>
    <row r="61" spans="1:8" x14ac:dyDescent="0.2">
      <c r="A61" s="57"/>
      <c r="B61" s="182" t="s">
        <v>330</v>
      </c>
      <c r="C61" s="34">
        <f>SUM(C60:C60)</f>
        <v>0</v>
      </c>
      <c r="D61" s="132">
        <f>SUM(D60:D60)</f>
        <v>0</v>
      </c>
      <c r="E61" s="132">
        <f>SUM(E60:E60)</f>
        <v>0</v>
      </c>
      <c r="F61" s="132"/>
      <c r="G61" s="132">
        <f>SUM(G60:G60)</f>
        <v>0</v>
      </c>
      <c r="H61" s="80"/>
    </row>
    <row r="62" spans="1:8" x14ac:dyDescent="0.2">
      <c r="A62" s="57"/>
      <c r="B62" s="96"/>
    </row>
    <row r="63" spans="1:8" x14ac:dyDescent="0.2">
      <c r="A63" s="57"/>
      <c r="B63" s="96"/>
    </row>
    <row r="64" spans="1:8" x14ac:dyDescent="0.2">
      <c r="A64" s="57"/>
      <c r="B64" s="182" t="s">
        <v>327</v>
      </c>
      <c r="C64" s="252" t="s">
        <v>79</v>
      </c>
      <c r="D64" s="183" t="s">
        <v>130</v>
      </c>
      <c r="E64" s="183" t="s">
        <v>129</v>
      </c>
      <c r="F64" s="183"/>
      <c r="G64" s="183" t="s">
        <v>76</v>
      </c>
    </row>
    <row r="65" spans="1:8" x14ac:dyDescent="0.2">
      <c r="A65" s="381"/>
      <c r="B65" s="130"/>
      <c r="C65" s="303"/>
      <c r="D65" s="132"/>
      <c r="E65" s="132"/>
      <c r="F65" s="132"/>
      <c r="G65" s="132"/>
      <c r="H65" s="305"/>
    </row>
    <row r="66" spans="1:8" x14ac:dyDescent="0.2">
      <c r="B66" s="182" t="s">
        <v>328</v>
      </c>
      <c r="C66" s="34">
        <f>SUM(C65:C65)</f>
        <v>0</v>
      </c>
      <c r="D66" s="132">
        <f>SUM(D65:D65)</f>
        <v>0</v>
      </c>
      <c r="E66" s="132">
        <f>SUM(E65:E65)</f>
        <v>0</v>
      </c>
      <c r="F66" s="132"/>
      <c r="G66" s="132">
        <f>SUM(G65:G65)</f>
        <v>0</v>
      </c>
    </row>
    <row r="67" spans="1:8" x14ac:dyDescent="0.2">
      <c r="B67" s="78"/>
      <c r="C67" s="36"/>
      <c r="D67" s="57"/>
      <c r="E67" s="57"/>
      <c r="F67" s="57"/>
      <c r="G67" s="57"/>
    </row>
    <row r="69" spans="1:8" x14ac:dyDescent="0.2">
      <c r="A69" s="53" t="s">
        <v>360</v>
      </c>
      <c r="B69" s="333" t="s">
        <v>203</v>
      </c>
      <c r="C69" s="369" t="s">
        <v>143</v>
      </c>
      <c r="D69" s="369"/>
      <c r="E69" s="369"/>
      <c r="F69" s="369"/>
      <c r="G69" s="369"/>
    </row>
    <row r="70" spans="1:8" x14ac:dyDescent="0.2">
      <c r="B70" s="149" t="s">
        <v>78</v>
      </c>
      <c r="C70" s="295" t="s">
        <v>79</v>
      </c>
      <c r="D70" s="155" t="s">
        <v>130</v>
      </c>
      <c r="E70" s="155" t="s">
        <v>129</v>
      </c>
      <c r="F70" s="155"/>
      <c r="G70" s="274" t="s">
        <v>76</v>
      </c>
      <c r="H70" s="287"/>
    </row>
    <row r="71" spans="1:8" x14ac:dyDescent="0.2">
      <c r="B71" s="156"/>
      <c r="C71" s="386"/>
      <c r="D71" s="296"/>
      <c r="E71" s="297"/>
      <c r="F71" s="157"/>
      <c r="G71" s="298"/>
      <c r="H71" s="287"/>
    </row>
    <row r="72" spans="1:8" ht="15" x14ac:dyDescent="0.25">
      <c r="B72" s="167" t="s">
        <v>459</v>
      </c>
      <c r="C72" s="382">
        <v>35877162.284999967</v>
      </c>
      <c r="D72" s="296">
        <f t="shared" ref="D72:D78" si="1">C72*0.06</f>
        <v>2152629.7370999977</v>
      </c>
      <c r="E72" s="297">
        <f t="shared" ref="E72:E78" si="2">C72*0.06</f>
        <v>2152629.7370999977</v>
      </c>
      <c r="F72" s="157"/>
      <c r="G72" s="298">
        <f t="shared" ref="G72:G78" si="3">C72+D72+E72</f>
        <v>40182421.759199962</v>
      </c>
      <c r="H72" s="287"/>
    </row>
    <row r="73" spans="1:8" ht="15" x14ac:dyDescent="0.25">
      <c r="B73" s="167" t="s">
        <v>460</v>
      </c>
      <c r="C73" s="354">
        <v>376155</v>
      </c>
      <c r="D73" s="296">
        <f t="shared" si="1"/>
        <v>22569.3</v>
      </c>
      <c r="E73" s="297">
        <f t="shared" si="2"/>
        <v>22569.3</v>
      </c>
      <c r="F73" s="157"/>
      <c r="G73" s="298">
        <f t="shared" si="3"/>
        <v>421293.6</v>
      </c>
      <c r="H73" s="287"/>
    </row>
    <row r="74" spans="1:8" ht="15" x14ac:dyDescent="0.25">
      <c r="B74" s="167" t="s">
        <v>461</v>
      </c>
      <c r="C74" s="354">
        <v>318000</v>
      </c>
      <c r="D74" s="296">
        <f t="shared" si="1"/>
        <v>19080</v>
      </c>
      <c r="E74" s="297">
        <f t="shared" si="2"/>
        <v>19080</v>
      </c>
      <c r="F74" s="157"/>
      <c r="G74" s="298">
        <f t="shared" si="3"/>
        <v>356160</v>
      </c>
      <c r="H74" s="287"/>
    </row>
    <row r="75" spans="1:8" ht="15" x14ac:dyDescent="0.25">
      <c r="B75" s="167" t="s">
        <v>462</v>
      </c>
      <c r="C75" s="354">
        <v>287516</v>
      </c>
      <c r="D75" s="296">
        <f t="shared" si="1"/>
        <v>17250.96</v>
      </c>
      <c r="E75" s="297">
        <f t="shared" si="2"/>
        <v>17250.96</v>
      </c>
      <c r="F75" s="157"/>
      <c r="G75" s="298">
        <f t="shared" si="3"/>
        <v>322017.92000000004</v>
      </c>
      <c r="H75" s="287"/>
    </row>
    <row r="76" spans="1:8" ht="15" x14ac:dyDescent="0.25">
      <c r="B76" s="167" t="s">
        <v>463</v>
      </c>
      <c r="C76" s="354">
        <v>379063</v>
      </c>
      <c r="D76" s="296">
        <f t="shared" si="1"/>
        <v>22743.78</v>
      </c>
      <c r="E76" s="297">
        <f t="shared" si="2"/>
        <v>22743.78</v>
      </c>
      <c r="F76" s="157"/>
      <c r="G76" s="298">
        <f t="shared" si="3"/>
        <v>424550.56000000006</v>
      </c>
      <c r="H76" s="287"/>
    </row>
    <row r="77" spans="1:8" ht="15" x14ac:dyDescent="0.25">
      <c r="B77" s="167" t="s">
        <v>464</v>
      </c>
      <c r="C77" s="354">
        <v>209648.8</v>
      </c>
      <c r="D77" s="296">
        <f t="shared" si="1"/>
        <v>12578.927999999998</v>
      </c>
      <c r="E77" s="297">
        <f t="shared" si="2"/>
        <v>12578.927999999998</v>
      </c>
      <c r="F77" s="157"/>
      <c r="G77" s="298">
        <f t="shared" si="3"/>
        <v>234806.65599999996</v>
      </c>
      <c r="H77" s="287"/>
    </row>
    <row r="78" spans="1:8" ht="15" x14ac:dyDescent="0.25">
      <c r="B78" s="167" t="s">
        <v>465</v>
      </c>
      <c r="C78" s="354">
        <v>43505.696000000004</v>
      </c>
      <c r="D78" s="296">
        <f t="shared" si="1"/>
        <v>2610.3417600000002</v>
      </c>
      <c r="E78" s="297">
        <f t="shared" si="2"/>
        <v>2610.3417600000002</v>
      </c>
      <c r="F78" s="157"/>
      <c r="G78" s="298">
        <f t="shared" si="3"/>
        <v>48726.37952000001</v>
      </c>
      <c r="H78" s="287"/>
    </row>
    <row r="79" spans="1:8" ht="15" x14ac:dyDescent="0.25">
      <c r="B79" s="167"/>
      <c r="C79" s="299"/>
      <c r="D79" s="296"/>
      <c r="E79" s="297"/>
      <c r="F79" s="157"/>
      <c r="G79" s="298"/>
      <c r="H79" s="287"/>
    </row>
    <row r="80" spans="1:8" x14ac:dyDescent="0.2">
      <c r="B80" s="182" t="s">
        <v>204</v>
      </c>
      <c r="C80" s="131">
        <f>SUM(C70:C79)</f>
        <v>37491050.780999966</v>
      </c>
      <c r="D80" s="131">
        <f>SUM(D70:D79)</f>
        <v>2249463.0468599973</v>
      </c>
      <c r="E80" s="131">
        <f>SUM(E70:E79)</f>
        <v>2249463.0468599973</v>
      </c>
      <c r="F80" s="131"/>
      <c r="G80" s="131">
        <f>SUM(G70:G79)</f>
        <v>41989976.87471997</v>
      </c>
    </row>
    <row r="81" spans="1:8" x14ac:dyDescent="0.2">
      <c r="B81" s="78"/>
      <c r="C81" s="67"/>
      <c r="D81" s="67"/>
      <c r="E81" s="67"/>
      <c r="F81" s="67"/>
      <c r="G81" s="67"/>
    </row>
    <row r="82" spans="1:8" x14ac:dyDescent="0.2">
      <c r="B82" s="78"/>
      <c r="C82" s="67"/>
      <c r="D82" s="67"/>
      <c r="E82" s="67"/>
      <c r="F82" s="67"/>
      <c r="G82" s="67"/>
    </row>
    <row r="83" spans="1:8" x14ac:dyDescent="0.2">
      <c r="A83" s="53" t="s">
        <v>360</v>
      </c>
      <c r="B83" s="202" t="s">
        <v>326</v>
      </c>
      <c r="C83" s="367" t="s">
        <v>106</v>
      </c>
      <c r="D83" s="367"/>
      <c r="E83" s="367"/>
      <c r="F83" s="367"/>
      <c r="G83" s="367"/>
    </row>
    <row r="84" spans="1:8" x14ac:dyDescent="0.2">
      <c r="B84" s="272" t="s">
        <v>78</v>
      </c>
      <c r="C84" s="291" t="s">
        <v>80</v>
      </c>
      <c r="D84" s="291" t="s">
        <v>130</v>
      </c>
      <c r="E84" s="291" t="s">
        <v>129</v>
      </c>
      <c r="F84" s="291"/>
      <c r="G84" s="291" t="s">
        <v>76</v>
      </c>
      <c r="H84" s="287"/>
    </row>
    <row r="85" spans="1:8" ht="15" x14ac:dyDescent="0.25">
      <c r="B85" s="350" t="s">
        <v>368</v>
      </c>
      <c r="C85" s="303">
        <f>5000000*3</f>
        <v>15000000</v>
      </c>
      <c r="D85" s="384">
        <f>C85*9%</f>
        <v>1350000</v>
      </c>
      <c r="E85" s="384">
        <f>C85*9%</f>
        <v>1350000</v>
      </c>
      <c r="F85" s="303"/>
      <c r="G85" s="303">
        <f t="shared" ref="G85:G93" si="4">SUM(C85:F85)</f>
        <v>17700000</v>
      </c>
      <c r="H85" s="287"/>
    </row>
    <row r="86" spans="1:8" ht="15" x14ac:dyDescent="0.25">
      <c r="B86" s="350" t="s">
        <v>351</v>
      </c>
      <c r="C86" s="291">
        <v>9122</v>
      </c>
      <c r="D86" s="384">
        <v>820.98</v>
      </c>
      <c r="E86" s="384">
        <v>820.98</v>
      </c>
      <c r="F86" s="303"/>
      <c r="G86" s="291">
        <f t="shared" si="4"/>
        <v>10763.96</v>
      </c>
      <c r="H86" s="294"/>
    </row>
    <row r="87" spans="1:8" ht="15" x14ac:dyDescent="0.25">
      <c r="B87" s="350" t="s">
        <v>378</v>
      </c>
      <c r="C87" s="291">
        <v>-1439</v>
      </c>
      <c r="D87" s="384">
        <v>0</v>
      </c>
      <c r="E87" s="384">
        <v>0</v>
      </c>
      <c r="F87" s="303"/>
      <c r="G87" s="291">
        <f t="shared" si="4"/>
        <v>-1439</v>
      </c>
      <c r="H87" s="287"/>
    </row>
    <row r="88" spans="1:8" ht="15" x14ac:dyDescent="0.25">
      <c r="B88" s="350" t="s">
        <v>379</v>
      </c>
      <c r="C88" s="291">
        <v>1101575</v>
      </c>
      <c r="D88" s="384">
        <v>99141.75</v>
      </c>
      <c r="E88" s="384">
        <v>99141.75</v>
      </c>
      <c r="F88" s="303"/>
      <c r="G88" s="291">
        <f t="shared" si="4"/>
        <v>1299858.5</v>
      </c>
      <c r="H88" s="287"/>
    </row>
    <row r="89" spans="1:8" ht="15" x14ac:dyDescent="0.25">
      <c r="B89" s="350" t="s">
        <v>380</v>
      </c>
      <c r="C89" s="291">
        <v>644470</v>
      </c>
      <c r="D89" s="384">
        <v>58002.3</v>
      </c>
      <c r="E89" s="384">
        <v>58002.3</v>
      </c>
      <c r="F89" s="303"/>
      <c r="G89" s="291">
        <f t="shared" si="4"/>
        <v>760474.60000000009</v>
      </c>
      <c r="H89" s="287"/>
    </row>
    <row r="90" spans="1:8" ht="15" x14ac:dyDescent="0.25">
      <c r="B90" s="350" t="s">
        <v>403</v>
      </c>
      <c r="C90" s="291">
        <f>142900000</f>
        <v>142900000</v>
      </c>
      <c r="D90" s="384">
        <v>12861000</v>
      </c>
      <c r="E90" s="384">
        <v>12861000</v>
      </c>
      <c r="F90" s="303"/>
      <c r="G90" s="291">
        <f t="shared" si="4"/>
        <v>168622000</v>
      </c>
      <c r="H90" s="287"/>
    </row>
    <row r="91" spans="1:8" ht="15" x14ac:dyDescent="0.25">
      <c r="B91" s="350" t="s">
        <v>435</v>
      </c>
      <c r="C91" s="303">
        <f>5000000*3</f>
        <v>15000000</v>
      </c>
      <c r="D91" s="384">
        <f>C91*0.06</f>
        <v>900000</v>
      </c>
      <c r="E91" s="384">
        <f>C91*0.06</f>
        <v>900000</v>
      </c>
      <c r="F91" s="303"/>
      <c r="G91" s="291">
        <f t="shared" si="4"/>
        <v>16800000</v>
      </c>
      <c r="H91" s="287"/>
    </row>
    <row r="92" spans="1:8" ht="15" x14ac:dyDescent="0.25">
      <c r="B92" s="351" t="s">
        <v>436</v>
      </c>
      <c r="C92" s="303">
        <f>8297417.76785714-H92</f>
        <v>6821003.20585714</v>
      </c>
      <c r="D92" s="384">
        <f>C92*0.06</f>
        <v>409260.19235142838</v>
      </c>
      <c r="E92" s="384">
        <f>C92*0.06</f>
        <v>409260.19235142838</v>
      </c>
      <c r="F92" s="303"/>
      <c r="G92" s="291">
        <f t="shared" si="4"/>
        <v>7639523.5905599976</v>
      </c>
      <c r="H92" s="287">
        <v>1476414.5619999999</v>
      </c>
    </row>
    <row r="93" spans="1:8" ht="15" x14ac:dyDescent="0.25">
      <c r="B93" s="313" t="s">
        <v>437</v>
      </c>
      <c r="C93" s="331">
        <v>2404634.14</v>
      </c>
      <c r="D93" s="384">
        <f>C93*0.09</f>
        <v>216417.07260000001</v>
      </c>
      <c r="E93" s="384">
        <f>C93*0.09</f>
        <v>216417.07260000001</v>
      </c>
      <c r="F93" s="303"/>
      <c r="G93" s="291">
        <f t="shared" si="4"/>
        <v>2837468.2852000003</v>
      </c>
      <c r="H93" s="287"/>
    </row>
    <row r="94" spans="1:8" ht="15" x14ac:dyDescent="0.25">
      <c r="B94" s="313" t="s">
        <v>438</v>
      </c>
      <c r="C94" s="385">
        <v>319332</v>
      </c>
      <c r="D94" s="384">
        <f>C94*0.09</f>
        <v>28739.879999999997</v>
      </c>
      <c r="E94" s="384">
        <f>C94*0.09</f>
        <v>28739.879999999997</v>
      </c>
      <c r="F94" s="303"/>
      <c r="G94" s="291">
        <f t="shared" ref="G94:G95" si="5">SUM(C94:F94)</f>
        <v>376811.76</v>
      </c>
      <c r="H94" s="287"/>
    </row>
    <row r="95" spans="1:8" ht="15" x14ac:dyDescent="0.25">
      <c r="B95" s="313" t="s">
        <v>439</v>
      </c>
      <c r="C95" s="331">
        <f>13893814.4889999-H95</f>
        <v>12454559.4229999</v>
      </c>
      <c r="D95" s="384">
        <f>C95*0.06</f>
        <v>747273.56537999399</v>
      </c>
      <c r="E95" s="384">
        <f>C95*0.06</f>
        <v>747273.56537999399</v>
      </c>
      <c r="F95" s="303"/>
      <c r="G95" s="303">
        <f t="shared" si="5"/>
        <v>13949106.553759888</v>
      </c>
      <c r="H95" s="287">
        <v>1439255.0660000001</v>
      </c>
    </row>
    <row r="96" spans="1:8" ht="15" x14ac:dyDescent="0.25">
      <c r="B96" s="353"/>
      <c r="C96" s="303"/>
      <c r="D96" s="384"/>
      <c r="E96" s="384"/>
      <c r="F96" s="303"/>
      <c r="G96" s="303"/>
      <c r="H96" s="287"/>
    </row>
    <row r="97" spans="1:8" x14ac:dyDescent="0.2">
      <c r="B97" s="182" t="s">
        <v>205</v>
      </c>
      <c r="C97" s="187">
        <f>SUM(C84:C96)</f>
        <v>196653256.768857</v>
      </c>
      <c r="D97" s="187">
        <f>SUM(D84:D96)</f>
        <v>16670655.740331423</v>
      </c>
      <c r="E97" s="187">
        <f>SUM(E84:E96)</f>
        <v>16670655.740331423</v>
      </c>
      <c r="F97" s="187"/>
      <c r="G97" s="187">
        <f>SUM(G84:G96)</f>
        <v>229994568.24951988</v>
      </c>
    </row>
    <row r="98" spans="1:8" x14ac:dyDescent="0.2">
      <c r="B98" s="203"/>
      <c r="C98" s="204"/>
      <c r="D98" s="204"/>
      <c r="E98" s="204"/>
      <c r="F98" s="204"/>
      <c r="G98" s="204"/>
    </row>
    <row r="99" spans="1:8" x14ac:dyDescent="0.2">
      <c r="D99" s="95"/>
      <c r="E99" s="95"/>
      <c r="F99" s="95"/>
      <c r="G99" s="95"/>
    </row>
    <row r="100" spans="1:8" x14ac:dyDescent="0.2">
      <c r="A100" s="53" t="s">
        <v>360</v>
      </c>
      <c r="B100" s="333" t="s">
        <v>206</v>
      </c>
      <c r="C100" s="367" t="s">
        <v>144</v>
      </c>
      <c r="D100" s="367"/>
      <c r="E100" s="367"/>
      <c r="F100" s="367"/>
      <c r="G100" s="205"/>
    </row>
    <row r="101" spans="1:8" x14ac:dyDescent="0.2">
      <c r="B101" s="272" t="s">
        <v>78</v>
      </c>
      <c r="C101" s="291" t="s">
        <v>80</v>
      </c>
      <c r="D101" s="291" t="s">
        <v>130</v>
      </c>
      <c r="E101" s="291" t="s">
        <v>129</v>
      </c>
      <c r="F101" s="291"/>
      <c r="G101" s="291" t="s">
        <v>76</v>
      </c>
      <c r="H101" s="287"/>
    </row>
    <row r="102" spans="1:8" ht="15" x14ac:dyDescent="0.25">
      <c r="B102" s="275" t="s">
        <v>408</v>
      </c>
      <c r="C102" s="327">
        <v>4224308.948752759</v>
      </c>
      <c r="D102" s="355">
        <f>C102*0.06</f>
        <v>253458.53692516554</v>
      </c>
      <c r="E102" s="384">
        <f>C102*0.06</f>
        <v>253458.53692516554</v>
      </c>
      <c r="F102" s="390"/>
      <c r="G102" s="303">
        <f>SUM(C102:F102)</f>
        <v>4731226.0226030909</v>
      </c>
      <c r="H102" s="287"/>
    </row>
    <row r="103" spans="1:8" ht="15" x14ac:dyDescent="0.25">
      <c r="B103" s="275" t="s">
        <v>445</v>
      </c>
      <c r="C103" s="327">
        <v>4255439.3884755261</v>
      </c>
      <c r="D103" s="355">
        <f>C103*0.06</f>
        <v>255326.36330853155</v>
      </c>
      <c r="E103" s="384">
        <f>C103*0.06</f>
        <v>255326.36330853155</v>
      </c>
      <c r="F103" s="390"/>
      <c r="G103" s="303">
        <f>SUM(C103:F103)</f>
        <v>4766092.1150925886</v>
      </c>
      <c r="H103" s="287"/>
    </row>
    <row r="104" spans="1:8" ht="15" x14ac:dyDescent="0.25">
      <c r="B104" s="275" t="s">
        <v>457</v>
      </c>
      <c r="C104" s="327">
        <v>3938565.7237503398</v>
      </c>
      <c r="D104" s="355">
        <v>236313.94342502099</v>
      </c>
      <c r="E104" s="384">
        <v>236313.94342502099</v>
      </c>
      <c r="F104" s="390"/>
      <c r="G104" s="303">
        <f>SUM(C104:F104)</f>
        <v>4411193.6106003821</v>
      </c>
      <c r="H104" s="287"/>
    </row>
    <row r="105" spans="1:8" x14ac:dyDescent="0.2">
      <c r="B105" s="182" t="s">
        <v>207</v>
      </c>
      <c r="C105" s="50">
        <f>SUM(C101:C104)</f>
        <v>12418314.060978625</v>
      </c>
      <c r="D105" s="50">
        <f>SUM(D101:D104)</f>
        <v>745098.84365871805</v>
      </c>
      <c r="E105" s="50">
        <f>SUM(E101:E104)</f>
        <v>745098.84365871805</v>
      </c>
      <c r="F105" s="50"/>
      <c r="G105" s="50">
        <f>SUM(G101:G104)</f>
        <v>13908511.748296062</v>
      </c>
    </row>
    <row r="106" spans="1:8" x14ac:dyDescent="0.2">
      <c r="B106" s="203"/>
      <c r="C106" s="206"/>
      <c r="D106" s="206"/>
      <c r="E106" s="206"/>
      <c r="F106" s="206"/>
      <c r="G106" s="206"/>
    </row>
    <row r="107" spans="1:8" x14ac:dyDescent="0.2">
      <c r="D107" s="95"/>
      <c r="E107" s="95"/>
      <c r="F107" s="95"/>
      <c r="G107" s="95"/>
    </row>
    <row r="108" spans="1:8" x14ac:dyDescent="0.2">
      <c r="B108" s="202" t="s">
        <v>208</v>
      </c>
      <c r="C108" s="367" t="s">
        <v>145</v>
      </c>
      <c r="D108" s="367"/>
      <c r="E108" s="367"/>
      <c r="F108" s="367"/>
      <c r="G108" s="207"/>
    </row>
    <row r="109" spans="1:8" x14ac:dyDescent="0.2">
      <c r="B109" s="272" t="s">
        <v>78</v>
      </c>
      <c r="C109" s="217" t="s">
        <v>80</v>
      </c>
      <c r="D109" s="217" t="s">
        <v>130</v>
      </c>
      <c r="E109" s="217" t="s">
        <v>129</v>
      </c>
      <c r="F109" s="217"/>
      <c r="G109" s="217" t="s">
        <v>76</v>
      </c>
      <c r="H109" s="287"/>
    </row>
    <row r="110" spans="1:8" ht="15" x14ac:dyDescent="0.25">
      <c r="B110" s="145"/>
      <c r="C110" s="208"/>
      <c r="D110" s="209"/>
      <c r="E110" s="379"/>
      <c r="F110" s="210"/>
      <c r="G110" s="209">
        <f>SUM(C110:F110)</f>
        <v>0</v>
      </c>
      <c r="H110" s="287"/>
    </row>
    <row r="111" spans="1:8" x14ac:dyDescent="0.2">
      <c r="B111" s="182" t="s">
        <v>209</v>
      </c>
      <c r="C111" s="141">
        <f>SUM(C109:C110)</f>
        <v>0</v>
      </c>
      <c r="D111" s="141">
        <f>SUM(D109:D110)</f>
        <v>0</v>
      </c>
      <c r="E111" s="141">
        <f>SUM(E109:E110)</f>
        <v>0</v>
      </c>
      <c r="F111" s="141"/>
      <c r="G111" s="141">
        <f>SUM(G109:G110)</f>
        <v>0</v>
      </c>
    </row>
    <row r="112" spans="1:8" x14ac:dyDescent="0.2">
      <c r="B112" s="203"/>
      <c r="C112" s="98"/>
      <c r="D112" s="98"/>
      <c r="E112" s="98"/>
      <c r="F112" s="98"/>
      <c r="G112" s="98"/>
    </row>
    <row r="113" spans="1:8" x14ac:dyDescent="0.2">
      <c r="D113" s="95"/>
      <c r="E113" s="95"/>
      <c r="F113" s="95"/>
      <c r="G113" s="95"/>
    </row>
    <row r="114" spans="1:8" x14ac:dyDescent="0.2">
      <c r="B114" s="202" t="s">
        <v>210</v>
      </c>
      <c r="C114" s="207" t="s">
        <v>77</v>
      </c>
      <c r="D114" s="207" t="s">
        <v>130</v>
      </c>
      <c r="E114" s="207" t="s">
        <v>129</v>
      </c>
      <c r="F114" s="207"/>
      <c r="G114" s="207" t="s">
        <v>76</v>
      </c>
    </row>
    <row r="115" spans="1:8" x14ac:dyDescent="0.2">
      <c r="B115" s="145"/>
      <c r="C115" s="209"/>
      <c r="D115" s="209"/>
      <c r="E115" s="379"/>
      <c r="F115" s="209"/>
      <c r="G115" s="209"/>
      <c r="H115" s="287"/>
    </row>
    <row r="116" spans="1:8" x14ac:dyDescent="0.2">
      <c r="B116" s="182" t="s">
        <v>211</v>
      </c>
      <c r="C116" s="34">
        <f>SUM(C115:C115)</f>
        <v>0</v>
      </c>
      <c r="D116" s="87">
        <f>SUM(D115:D115)</f>
        <v>0</v>
      </c>
      <c r="E116" s="87">
        <f>SUM(E115:E115)</f>
        <v>0</v>
      </c>
      <c r="F116" s="87"/>
      <c r="G116" s="34">
        <f>SUM(G115:G115)</f>
        <v>0</v>
      </c>
    </row>
    <row r="117" spans="1:8" x14ac:dyDescent="0.2">
      <c r="B117" s="203"/>
      <c r="C117" s="36"/>
      <c r="D117" s="66"/>
      <c r="E117" s="66"/>
      <c r="F117" s="66"/>
      <c r="G117" s="36"/>
    </row>
    <row r="118" spans="1:8" x14ac:dyDescent="0.2">
      <c r="D118" s="95"/>
      <c r="E118" s="95"/>
      <c r="F118" s="95"/>
      <c r="G118" s="95"/>
    </row>
    <row r="119" spans="1:8" x14ac:dyDescent="0.2">
      <c r="A119" s="53" t="s">
        <v>360</v>
      </c>
      <c r="B119" s="333" t="s">
        <v>212</v>
      </c>
      <c r="C119" s="367" t="s">
        <v>64</v>
      </c>
      <c r="D119" s="367"/>
      <c r="E119" s="367"/>
      <c r="F119" s="367"/>
      <c r="G119" s="207" t="s">
        <v>76</v>
      </c>
    </row>
    <row r="120" spans="1:8" ht="15" x14ac:dyDescent="0.25">
      <c r="B120" s="272" t="s">
        <v>78</v>
      </c>
      <c r="C120" s="131" t="s">
        <v>77</v>
      </c>
      <c r="D120" s="131" t="s">
        <v>130</v>
      </c>
      <c r="E120" s="131" t="s">
        <v>129</v>
      </c>
      <c r="F120" s="131"/>
      <c r="G120" s="131"/>
      <c r="H120" s="289"/>
    </row>
    <row r="121" spans="1:8" ht="15" x14ac:dyDescent="0.25">
      <c r="B121" s="145"/>
      <c r="C121" s="344"/>
      <c r="D121" s="343"/>
      <c r="E121" s="343"/>
      <c r="F121" s="131"/>
      <c r="G121" s="34"/>
      <c r="H121" s="287"/>
    </row>
    <row r="122" spans="1:8" ht="15" x14ac:dyDescent="0.25">
      <c r="B122" s="145" t="s">
        <v>401</v>
      </c>
      <c r="C122" s="344">
        <v>5925.44</v>
      </c>
      <c r="D122" s="343">
        <v>355.52640000000002</v>
      </c>
      <c r="E122" s="343">
        <v>355.52640000000002</v>
      </c>
      <c r="F122" s="131"/>
      <c r="G122" s="34">
        <f>SUM(C122:F122)</f>
        <v>6636.4927999999991</v>
      </c>
      <c r="H122" s="287"/>
    </row>
    <row r="123" spans="1:8" ht="15" x14ac:dyDescent="0.25">
      <c r="B123" s="145" t="s">
        <v>402</v>
      </c>
      <c r="C123" s="344">
        <v>4425.2049999999999</v>
      </c>
      <c r="D123" s="343">
        <v>398.26844999999997</v>
      </c>
      <c r="E123" s="343">
        <v>398.26844999999997</v>
      </c>
      <c r="F123" s="131"/>
      <c r="G123" s="34">
        <f>SUM(C123:F123)</f>
        <v>5221.7418999999991</v>
      </c>
      <c r="H123" s="287"/>
    </row>
    <row r="124" spans="1:8" ht="15" x14ac:dyDescent="0.25">
      <c r="B124" s="145"/>
      <c r="C124" s="344"/>
      <c r="D124" s="343"/>
      <c r="E124" s="343"/>
      <c r="F124" s="131"/>
      <c r="G124" s="34"/>
      <c r="H124" s="287"/>
    </row>
    <row r="125" spans="1:8" x14ac:dyDescent="0.2">
      <c r="B125" s="211" t="s">
        <v>213</v>
      </c>
      <c r="C125" s="120">
        <f>SUM(C120:C124)</f>
        <v>10350.645</v>
      </c>
      <c r="D125" s="120">
        <f>SUM(D120:D124)</f>
        <v>753.79485</v>
      </c>
      <c r="E125" s="120">
        <f>SUM(E120:E124)</f>
        <v>753.79485</v>
      </c>
      <c r="F125" s="120"/>
      <c r="G125" s="120">
        <f>SUM(G120:G124)</f>
        <v>11858.234699999997</v>
      </c>
    </row>
    <row r="126" spans="1:8" x14ac:dyDescent="0.2">
      <c r="B126" s="212"/>
      <c r="C126" s="97"/>
      <c r="D126" s="97"/>
      <c r="E126" s="97"/>
      <c r="F126" s="97"/>
      <c r="G126" s="97"/>
    </row>
    <row r="127" spans="1:8" x14ac:dyDescent="0.2">
      <c r="D127" s="95"/>
      <c r="E127" s="122"/>
      <c r="F127" s="95"/>
      <c r="G127" s="84"/>
    </row>
    <row r="128" spans="1:8" ht="15" x14ac:dyDescent="0.25">
      <c r="B128" s="213" t="s">
        <v>214</v>
      </c>
      <c r="C128" s="207" t="s">
        <v>77</v>
      </c>
      <c r="D128" s="207" t="s">
        <v>130</v>
      </c>
      <c r="E128" s="207" t="s">
        <v>129</v>
      </c>
      <c r="F128" s="207"/>
      <c r="G128" s="207" t="s">
        <v>76</v>
      </c>
    </row>
    <row r="129" spans="1:8" ht="15" x14ac:dyDescent="0.25">
      <c r="B129" s="133"/>
      <c r="C129" s="184"/>
      <c r="D129" s="132"/>
      <c r="E129" s="132"/>
      <c r="F129" s="132"/>
      <c r="G129" s="132"/>
    </row>
    <row r="130" spans="1:8" x14ac:dyDescent="0.2">
      <c r="B130" s="211" t="s">
        <v>215</v>
      </c>
      <c r="C130" s="250">
        <f>SUM(C129:C129)</f>
        <v>0</v>
      </c>
      <c r="D130" s="132"/>
      <c r="E130" s="132"/>
      <c r="F130" s="132"/>
      <c r="G130" s="132"/>
    </row>
    <row r="131" spans="1:8" x14ac:dyDescent="0.2">
      <c r="B131" s="212"/>
      <c r="C131" s="214"/>
      <c r="D131" s="57"/>
      <c r="E131" s="57"/>
      <c r="F131" s="57"/>
      <c r="G131" s="57"/>
    </row>
    <row r="132" spans="1:8" x14ac:dyDescent="0.2">
      <c r="D132" s="95"/>
      <c r="E132" s="95"/>
      <c r="F132" s="95"/>
      <c r="G132" s="95"/>
    </row>
    <row r="133" spans="1:8" ht="15" x14ac:dyDescent="0.25">
      <c r="A133" s="53" t="s">
        <v>360</v>
      </c>
      <c r="B133" s="334" t="s">
        <v>216</v>
      </c>
      <c r="C133" s="367" t="s">
        <v>9</v>
      </c>
      <c r="D133" s="367"/>
      <c r="E133" s="367"/>
      <c r="F133" s="367"/>
      <c r="G133" s="215" t="s">
        <v>76</v>
      </c>
    </row>
    <row r="134" spans="1:8" ht="15" x14ac:dyDescent="0.25">
      <c r="B134" s="216" t="s">
        <v>78</v>
      </c>
      <c r="C134" s="291" t="s">
        <v>77</v>
      </c>
      <c r="D134" s="291" t="s">
        <v>130</v>
      </c>
      <c r="E134" s="291" t="s">
        <v>129</v>
      </c>
      <c r="F134" s="310"/>
      <c r="G134" s="299">
        <f>SUM(C134:F134)</f>
        <v>0</v>
      </c>
      <c r="H134" s="288"/>
    </row>
    <row r="135" spans="1:8" ht="15" x14ac:dyDescent="0.25">
      <c r="B135" s="148" t="s">
        <v>407</v>
      </c>
      <c r="C135" s="303">
        <f>2114306.52-H135</f>
        <v>2077569.6470000001</v>
      </c>
      <c r="D135" s="298">
        <f>C135*0.06</f>
        <v>124654.17882</v>
      </c>
      <c r="E135" s="299">
        <f>C135*0.06</f>
        <v>124654.17882</v>
      </c>
      <c r="F135" s="310"/>
      <c r="G135" s="299">
        <f>SUM(C135:F135)</f>
        <v>2326878.0046399999</v>
      </c>
      <c r="H135" s="288">
        <v>36736.873</v>
      </c>
    </row>
    <row r="136" spans="1:8" ht="15" x14ac:dyDescent="0.25">
      <c r="B136" s="148" t="s">
        <v>443</v>
      </c>
      <c r="C136" s="303">
        <f>1944802.03-H136</f>
        <v>1870700.2390000001</v>
      </c>
      <c r="D136" s="298">
        <f>C136*0.06</f>
        <v>112242.01433999999</v>
      </c>
      <c r="E136" s="299">
        <f>C136*0.06</f>
        <v>112242.01433999999</v>
      </c>
      <c r="F136" s="310"/>
      <c r="G136" s="299">
        <f>SUM(C136:F136)</f>
        <v>2095184.26768</v>
      </c>
      <c r="H136" s="288">
        <v>74101.790999999997</v>
      </c>
    </row>
    <row r="137" spans="1:8" ht="15" x14ac:dyDescent="0.25">
      <c r="B137" s="148" t="s">
        <v>457</v>
      </c>
      <c r="C137" s="303">
        <f>2620336.742-H137</f>
        <v>2184654.6800000002</v>
      </c>
      <c r="D137" s="298">
        <v>157220.20439999999</v>
      </c>
      <c r="E137" s="299">
        <v>157220.20439999999</v>
      </c>
      <c r="F137" s="310"/>
      <c r="G137" s="299">
        <f>SUM(C137:F137)</f>
        <v>2499095.0888000005</v>
      </c>
      <c r="H137" s="288">
        <v>435682.06199999998</v>
      </c>
    </row>
    <row r="138" spans="1:8" x14ac:dyDescent="0.2">
      <c r="B138" s="211" t="s">
        <v>217</v>
      </c>
      <c r="C138" s="146">
        <f>SUM(C134:C137)</f>
        <v>6132924.5659999996</v>
      </c>
      <c r="D138" s="146">
        <f>SUM(D134:D137)</f>
        <v>394116.39755999995</v>
      </c>
      <c r="E138" s="146">
        <f>SUM(E134:E137)</f>
        <v>394116.39755999995</v>
      </c>
      <c r="F138" s="146"/>
      <c r="G138" s="146">
        <f>SUM(G134:G137)</f>
        <v>6921157.3611200005</v>
      </c>
    </row>
    <row r="139" spans="1:8" x14ac:dyDescent="0.2">
      <c r="B139" s="212"/>
      <c r="C139" s="114"/>
      <c r="D139" s="114"/>
      <c r="E139" s="114"/>
      <c r="F139" s="114"/>
      <c r="G139" s="114"/>
    </row>
    <row r="140" spans="1:8" x14ac:dyDescent="0.2">
      <c r="D140" s="65"/>
      <c r="F140" s="65"/>
    </row>
    <row r="141" spans="1:8" x14ac:dyDescent="0.2">
      <c r="A141" s="53" t="s">
        <v>360</v>
      </c>
      <c r="B141" s="335" t="s">
        <v>218</v>
      </c>
      <c r="C141" s="367" t="s">
        <v>56</v>
      </c>
      <c r="D141" s="367"/>
      <c r="E141" s="367"/>
      <c r="F141" s="367"/>
      <c r="G141" s="215" t="s">
        <v>76</v>
      </c>
    </row>
    <row r="142" spans="1:8" ht="15" x14ac:dyDescent="0.25">
      <c r="B142" s="148"/>
      <c r="C142" s="87"/>
      <c r="D142" s="343"/>
      <c r="E142" s="343"/>
      <c r="F142" s="131"/>
      <c r="G142" s="34"/>
      <c r="H142" s="288"/>
    </row>
    <row r="143" spans="1:8" ht="15" x14ac:dyDescent="0.25">
      <c r="B143" s="148" t="s">
        <v>396</v>
      </c>
      <c r="C143" s="87">
        <f>5863930.8-H143</f>
        <v>5097305.46</v>
      </c>
      <c r="D143" s="343">
        <v>351835.848</v>
      </c>
      <c r="E143" s="343">
        <v>351835.848</v>
      </c>
      <c r="F143" s="131"/>
      <c r="G143" s="34">
        <f>SUM(C143:F143)</f>
        <v>5800977.1560000004</v>
      </c>
      <c r="H143" s="287">
        <v>766625.34</v>
      </c>
    </row>
    <row r="144" spans="1:8" ht="15" x14ac:dyDescent="0.25">
      <c r="B144" s="148" t="s">
        <v>449</v>
      </c>
      <c r="C144" s="87">
        <v>2116652.89</v>
      </c>
      <c r="D144" s="343">
        <v>190498.76010000001</v>
      </c>
      <c r="E144" s="343">
        <v>190498.76010000001</v>
      </c>
      <c r="F144" s="131"/>
      <c r="G144" s="34">
        <f>SUM(C144:F144)</f>
        <v>2497650.4102000003</v>
      </c>
      <c r="H144" s="287"/>
    </row>
    <row r="145" spans="1:8" ht="15" x14ac:dyDescent="0.25">
      <c r="B145" s="148" t="s">
        <v>450</v>
      </c>
      <c r="C145" s="87">
        <f>5896155.2-H145</f>
        <v>5864075</v>
      </c>
      <c r="D145" s="343">
        <v>353769.31199999998</v>
      </c>
      <c r="E145" s="343">
        <v>353769.31199999998</v>
      </c>
      <c r="F145" s="131"/>
      <c r="G145" s="34">
        <f>SUM(C145:F145)</f>
        <v>6571613.6239999998</v>
      </c>
      <c r="H145" s="287">
        <v>32080.2</v>
      </c>
    </row>
    <row r="146" spans="1:8" ht="15" x14ac:dyDescent="0.25">
      <c r="B146" s="148" t="s">
        <v>451</v>
      </c>
      <c r="C146" s="87">
        <v>2171476.7250000001</v>
      </c>
      <c r="D146" s="343">
        <v>195432.90525000001</v>
      </c>
      <c r="E146" s="343">
        <v>195432.90525000001</v>
      </c>
      <c r="F146" s="131"/>
      <c r="G146" s="34">
        <f>SUM(C146:F146)</f>
        <v>2562342.5354999998</v>
      </c>
      <c r="H146" s="287"/>
    </row>
    <row r="147" spans="1:8" x14ac:dyDescent="0.2">
      <c r="B147" s="211" t="s">
        <v>324</v>
      </c>
      <c r="C147" s="131">
        <f>SUM(C142:C146)</f>
        <v>15249510.074999999</v>
      </c>
      <c r="D147" s="131">
        <f>SUM(D142:D146)</f>
        <v>1091536.8253500001</v>
      </c>
      <c r="E147" s="131">
        <f>SUM(E142:E146)</f>
        <v>1091536.8253500001</v>
      </c>
      <c r="F147" s="131"/>
      <c r="G147" s="131">
        <f>SUM(G142:G146)</f>
        <v>17432583.725700002</v>
      </c>
    </row>
    <row r="148" spans="1:8" x14ac:dyDescent="0.2">
      <c r="B148" s="212"/>
      <c r="C148" s="67"/>
      <c r="D148" s="67"/>
      <c r="E148" s="67"/>
      <c r="F148" s="67"/>
      <c r="G148" s="67"/>
    </row>
    <row r="149" spans="1:8" x14ac:dyDescent="0.2">
      <c r="D149" s="57"/>
    </row>
    <row r="150" spans="1:8" x14ac:dyDescent="0.2">
      <c r="B150" s="335" t="s">
        <v>325</v>
      </c>
      <c r="C150" s="367" t="s">
        <v>146</v>
      </c>
      <c r="D150" s="367"/>
      <c r="E150" s="367"/>
      <c r="F150" s="367"/>
      <c r="G150" s="215" t="s">
        <v>76</v>
      </c>
    </row>
    <row r="151" spans="1:8" x14ac:dyDescent="0.2">
      <c r="B151" s="217" t="s">
        <v>78</v>
      </c>
      <c r="C151" s="217" t="s">
        <v>77</v>
      </c>
      <c r="D151" s="217" t="s">
        <v>130</v>
      </c>
      <c r="E151" s="217" t="s">
        <v>129</v>
      </c>
      <c r="F151" s="209"/>
      <c r="G151" s="209"/>
      <c r="H151" s="287"/>
    </row>
    <row r="152" spans="1:8" ht="15" x14ac:dyDescent="0.25">
      <c r="B152" s="167" t="s">
        <v>186</v>
      </c>
      <c r="C152" s="87">
        <v>102202.12</v>
      </c>
      <c r="D152" s="343">
        <v>0</v>
      </c>
      <c r="E152" s="343">
        <v>0</v>
      </c>
      <c r="F152" s="34"/>
      <c r="G152" s="34">
        <f>C152+D152+E152</f>
        <v>102202.12</v>
      </c>
      <c r="H152" s="287"/>
    </row>
    <row r="153" spans="1:8" ht="15" x14ac:dyDescent="0.25">
      <c r="A153" s="57"/>
      <c r="B153" s="273" t="s">
        <v>356</v>
      </c>
      <c r="C153" s="290">
        <v>13091.76</v>
      </c>
      <c r="D153" s="343">
        <v>0</v>
      </c>
      <c r="E153" s="343">
        <v>0</v>
      </c>
      <c r="F153" s="34"/>
      <c r="G153" s="34">
        <f t="shared" ref="G153:G161" si="6">SUM(C153:F153)</f>
        <v>13091.76</v>
      </c>
      <c r="H153" s="381"/>
    </row>
    <row r="154" spans="1:8" ht="15" x14ac:dyDescent="0.25">
      <c r="A154" s="57"/>
      <c r="B154" s="273" t="s">
        <v>357</v>
      </c>
      <c r="C154" s="290">
        <v>5107702.9600000298</v>
      </c>
      <c r="D154" s="343">
        <v>0</v>
      </c>
      <c r="E154" s="343">
        <v>0</v>
      </c>
      <c r="F154" s="34"/>
      <c r="G154" s="34">
        <f t="shared" si="6"/>
        <v>5107702.9600000298</v>
      </c>
      <c r="H154" s="287"/>
    </row>
    <row r="155" spans="1:8" ht="15" x14ac:dyDescent="0.25">
      <c r="A155" s="57"/>
      <c r="B155" s="273" t="s">
        <v>357</v>
      </c>
      <c r="C155" s="290">
        <v>-3720770</v>
      </c>
      <c r="D155" s="343">
        <v>0</v>
      </c>
      <c r="E155" s="343">
        <v>0</v>
      </c>
      <c r="F155" s="34"/>
      <c r="G155" s="34">
        <f t="shared" si="6"/>
        <v>-3720770</v>
      </c>
      <c r="H155" s="287"/>
    </row>
    <row r="156" spans="1:8" ht="15" x14ac:dyDescent="0.25">
      <c r="A156" s="57"/>
      <c r="B156" s="273" t="s">
        <v>357</v>
      </c>
      <c r="C156" s="290">
        <v>-3724975</v>
      </c>
      <c r="D156" s="343">
        <v>0</v>
      </c>
      <c r="E156" s="343">
        <v>0</v>
      </c>
      <c r="F156" s="34"/>
      <c r="G156" s="34">
        <f t="shared" si="6"/>
        <v>-3724975</v>
      </c>
      <c r="H156" s="287"/>
    </row>
    <row r="157" spans="1:8" ht="15" x14ac:dyDescent="0.25">
      <c r="A157" s="57"/>
      <c r="B157" s="273" t="s">
        <v>357</v>
      </c>
      <c r="C157" s="290">
        <v>-1453330</v>
      </c>
      <c r="D157" s="343">
        <v>0</v>
      </c>
      <c r="E157" s="343">
        <v>0</v>
      </c>
      <c r="F157" s="34"/>
      <c r="G157" s="34">
        <f t="shared" si="6"/>
        <v>-1453330</v>
      </c>
      <c r="H157" s="287"/>
    </row>
    <row r="158" spans="1:8" ht="15" x14ac:dyDescent="0.25">
      <c r="A158" s="57"/>
      <c r="B158" s="273" t="s">
        <v>357</v>
      </c>
      <c r="C158" s="290">
        <v>-1770786</v>
      </c>
      <c r="D158" s="343">
        <v>0</v>
      </c>
      <c r="E158" s="343">
        <v>0</v>
      </c>
      <c r="F158" s="34"/>
      <c r="G158" s="34">
        <f t="shared" si="6"/>
        <v>-1770786</v>
      </c>
      <c r="H158" s="287"/>
    </row>
    <row r="159" spans="1:8" ht="15" x14ac:dyDescent="0.25">
      <c r="A159" s="57"/>
      <c r="B159" s="273" t="s">
        <v>366</v>
      </c>
      <c r="C159" s="290">
        <v>-50435</v>
      </c>
      <c r="D159" s="343">
        <v>0</v>
      </c>
      <c r="E159" s="343">
        <v>0</v>
      </c>
      <c r="F159" s="34"/>
      <c r="G159" s="34">
        <f t="shared" si="6"/>
        <v>-50435</v>
      </c>
      <c r="H159" s="287"/>
    </row>
    <row r="160" spans="1:8" ht="15" x14ac:dyDescent="0.25">
      <c r="A160" s="57"/>
      <c r="B160" s="273" t="s">
        <v>357</v>
      </c>
      <c r="C160" s="290">
        <v>8666.4599999999991</v>
      </c>
      <c r="D160" s="343">
        <v>0</v>
      </c>
      <c r="E160" s="343">
        <v>0</v>
      </c>
      <c r="F160" s="34"/>
      <c r="G160" s="34">
        <f t="shared" si="6"/>
        <v>8666.4599999999991</v>
      </c>
      <c r="H160" s="287"/>
    </row>
    <row r="161" spans="1:8" ht="15" x14ac:dyDescent="0.25">
      <c r="A161" s="57"/>
      <c r="B161" s="273" t="s">
        <v>357</v>
      </c>
      <c r="C161" s="290">
        <v>1400.4</v>
      </c>
      <c r="D161" s="343">
        <v>0</v>
      </c>
      <c r="E161" s="343">
        <v>0</v>
      </c>
      <c r="F161" s="34"/>
      <c r="G161" s="34">
        <f t="shared" si="6"/>
        <v>1400.4</v>
      </c>
      <c r="H161" s="287"/>
    </row>
    <row r="162" spans="1:8" ht="15" x14ac:dyDescent="0.25">
      <c r="A162" s="57"/>
      <c r="B162" s="273" t="s">
        <v>359</v>
      </c>
      <c r="C162" s="290">
        <v>246620</v>
      </c>
      <c r="D162" s="343">
        <v>0</v>
      </c>
      <c r="E162" s="343">
        <v>0</v>
      </c>
      <c r="F162" s="34"/>
      <c r="G162" s="34">
        <f t="shared" ref="G162:G165" si="7">SUM(C162:F162)</f>
        <v>246620</v>
      </c>
      <c r="H162" s="287"/>
    </row>
    <row r="163" spans="1:8" ht="15" x14ac:dyDescent="0.25">
      <c r="A163" s="57"/>
      <c r="B163" s="273" t="s">
        <v>359</v>
      </c>
      <c r="C163" s="290">
        <v>75068</v>
      </c>
      <c r="D163" s="343">
        <v>0</v>
      </c>
      <c r="E163" s="343">
        <v>0</v>
      </c>
      <c r="F163" s="34"/>
      <c r="G163" s="34">
        <f t="shared" si="7"/>
        <v>75068</v>
      </c>
      <c r="H163" s="287"/>
    </row>
    <row r="164" spans="1:8" ht="15" x14ac:dyDescent="0.25">
      <c r="A164" s="57"/>
      <c r="B164" s="273" t="s">
        <v>359</v>
      </c>
      <c r="C164" s="290">
        <v>248118</v>
      </c>
      <c r="D164" s="343">
        <v>0</v>
      </c>
      <c r="E164" s="343">
        <v>0</v>
      </c>
      <c r="F164" s="34"/>
      <c r="G164" s="34">
        <f t="shared" si="7"/>
        <v>248118</v>
      </c>
      <c r="H164" s="287"/>
    </row>
    <row r="165" spans="1:8" ht="15" x14ac:dyDescent="0.25">
      <c r="A165" s="57"/>
      <c r="B165" s="273" t="s">
        <v>377</v>
      </c>
      <c r="C165" s="290">
        <v>22947.200000000001</v>
      </c>
      <c r="D165" s="343">
        <v>1376.8320000000001</v>
      </c>
      <c r="E165" s="343">
        <v>1376.8320000000001</v>
      </c>
      <c r="F165" s="34"/>
      <c r="G165" s="34">
        <f t="shared" si="7"/>
        <v>25700.863999999998</v>
      </c>
      <c r="H165" s="287"/>
    </row>
    <row r="166" spans="1:8" ht="15" x14ac:dyDescent="0.25">
      <c r="A166" s="57"/>
      <c r="B166" s="273" t="s">
        <v>424</v>
      </c>
      <c r="C166" s="290">
        <v>3063223.8</v>
      </c>
      <c r="D166" s="343">
        <f t="shared" ref="D166:D171" si="8">C166*6%</f>
        <v>183793.42799999999</v>
      </c>
      <c r="E166" s="343">
        <f t="shared" ref="E166:E171" si="9">C166*6%</f>
        <v>183793.42799999999</v>
      </c>
      <c r="F166" s="34"/>
      <c r="G166" s="34">
        <f t="shared" ref="G166:G171" si="10">SUM(C166:E166)</f>
        <v>3430810.6559999995</v>
      </c>
      <c r="H166" s="287"/>
    </row>
    <row r="167" spans="1:8" ht="15" x14ac:dyDescent="0.25">
      <c r="A167" s="57"/>
      <c r="B167" s="273" t="s">
        <v>425</v>
      </c>
      <c r="C167" s="290">
        <v>248118</v>
      </c>
      <c r="D167" s="343">
        <f t="shared" si="8"/>
        <v>14887.08</v>
      </c>
      <c r="E167" s="343">
        <f t="shared" si="9"/>
        <v>14887.08</v>
      </c>
      <c r="F167" s="34"/>
      <c r="G167" s="34">
        <f t="shared" si="10"/>
        <v>277892.16000000003</v>
      </c>
      <c r="H167" s="287"/>
    </row>
    <row r="168" spans="1:8" ht="15" x14ac:dyDescent="0.25">
      <c r="A168" s="57"/>
      <c r="B168" s="273" t="s">
        <v>426</v>
      </c>
      <c r="C168" s="290">
        <v>75068</v>
      </c>
      <c r="D168" s="343">
        <f t="shared" si="8"/>
        <v>4504.08</v>
      </c>
      <c r="E168" s="343">
        <f t="shared" si="9"/>
        <v>4504.08</v>
      </c>
      <c r="F168" s="34"/>
      <c r="G168" s="34">
        <f t="shared" si="10"/>
        <v>84076.160000000003</v>
      </c>
      <c r="H168" s="287"/>
    </row>
    <row r="169" spans="1:8" ht="15" x14ac:dyDescent="0.25">
      <c r="A169" s="57"/>
      <c r="B169" s="273" t="s">
        <v>427</v>
      </c>
      <c r="C169" s="290">
        <v>246620</v>
      </c>
      <c r="D169" s="343">
        <f t="shared" si="8"/>
        <v>14797.199999999999</v>
      </c>
      <c r="E169" s="343">
        <f t="shared" si="9"/>
        <v>14797.199999999999</v>
      </c>
      <c r="F169" s="34"/>
      <c r="G169" s="34">
        <f t="shared" si="10"/>
        <v>276214.40000000002</v>
      </c>
      <c r="H169" s="287"/>
    </row>
    <row r="170" spans="1:8" ht="15" x14ac:dyDescent="0.25">
      <c r="A170" s="57"/>
      <c r="B170" s="273" t="s">
        <v>428</v>
      </c>
      <c r="C170" s="290">
        <v>303227</v>
      </c>
      <c r="D170" s="343">
        <f t="shared" si="8"/>
        <v>18193.62</v>
      </c>
      <c r="E170" s="343">
        <f t="shared" si="9"/>
        <v>18193.62</v>
      </c>
      <c r="F170" s="34"/>
      <c r="G170" s="34">
        <f t="shared" si="10"/>
        <v>339614.24</v>
      </c>
      <c r="H170" s="287"/>
    </row>
    <row r="171" spans="1:8" ht="15" x14ac:dyDescent="0.25">
      <c r="A171" s="57"/>
      <c r="B171" s="273" t="s">
        <v>429</v>
      </c>
      <c r="C171" s="290">
        <v>35518.35</v>
      </c>
      <c r="D171" s="343">
        <f t="shared" si="8"/>
        <v>2131.1009999999997</v>
      </c>
      <c r="E171" s="343">
        <f t="shared" si="9"/>
        <v>2131.1009999999997</v>
      </c>
      <c r="F171" s="34"/>
      <c r="G171" s="34">
        <f t="shared" si="10"/>
        <v>39780.552000000003</v>
      </c>
      <c r="H171" s="287"/>
    </row>
    <row r="172" spans="1:8" ht="15" x14ac:dyDescent="0.25">
      <c r="A172" s="57"/>
      <c r="B172" s="273" t="s">
        <v>430</v>
      </c>
      <c r="C172" s="382">
        <v>3885889.54</v>
      </c>
      <c r="D172" s="343"/>
      <c r="E172" s="343"/>
      <c r="F172" s="34"/>
      <c r="G172" s="34"/>
      <c r="H172" s="287"/>
    </row>
    <row r="173" spans="1:8" ht="15" x14ac:dyDescent="0.25">
      <c r="A173" s="57"/>
      <c r="B173" s="273" t="s">
        <v>431</v>
      </c>
      <c r="C173" s="352">
        <v>248118</v>
      </c>
      <c r="D173" s="343"/>
      <c r="E173" s="343"/>
      <c r="F173" s="34"/>
      <c r="G173" s="34"/>
      <c r="H173" s="287"/>
    </row>
    <row r="174" spans="1:8" ht="15" x14ac:dyDescent="0.25">
      <c r="A174" s="57"/>
      <c r="B174" s="273" t="s">
        <v>432</v>
      </c>
      <c r="C174" s="352">
        <v>75068</v>
      </c>
      <c r="D174" s="343"/>
      <c r="E174" s="343"/>
      <c r="F174" s="34"/>
      <c r="G174" s="34"/>
      <c r="H174" s="287"/>
    </row>
    <row r="175" spans="1:8" ht="15" x14ac:dyDescent="0.25">
      <c r="A175" s="57"/>
      <c r="B175" s="273" t="s">
        <v>433</v>
      </c>
      <c r="C175" s="352">
        <v>246620</v>
      </c>
      <c r="D175" s="343"/>
      <c r="E175" s="343"/>
      <c r="F175" s="34"/>
      <c r="G175" s="34"/>
      <c r="H175" s="287"/>
    </row>
    <row r="176" spans="1:8" ht="15" x14ac:dyDescent="0.25">
      <c r="A176" s="57"/>
      <c r="B176" s="273" t="s">
        <v>458</v>
      </c>
      <c r="C176" s="382">
        <v>443267</v>
      </c>
      <c r="D176" s="343"/>
      <c r="E176" s="343"/>
      <c r="F176" s="34"/>
      <c r="G176" s="34"/>
      <c r="H176" s="287"/>
    </row>
    <row r="177" spans="1:8" ht="15" x14ac:dyDescent="0.25">
      <c r="A177" s="57"/>
      <c r="B177" s="273" t="s">
        <v>434</v>
      </c>
      <c r="C177" s="352">
        <v>46539.85</v>
      </c>
      <c r="D177" s="343"/>
      <c r="E177" s="343"/>
      <c r="F177" s="34"/>
      <c r="G177" s="34"/>
      <c r="H177" s="287"/>
    </row>
    <row r="178" spans="1:8" ht="15" x14ac:dyDescent="0.25">
      <c r="A178" s="57"/>
      <c r="B178" s="273"/>
      <c r="C178" s="290"/>
      <c r="D178" s="343"/>
      <c r="E178" s="343"/>
      <c r="F178" s="34"/>
      <c r="G178" s="34"/>
      <c r="H178" s="287"/>
    </row>
    <row r="179" spans="1:8" x14ac:dyDescent="0.2">
      <c r="B179" s="211" t="s">
        <v>219</v>
      </c>
      <c r="C179" s="131">
        <f>SUM(C151:C178)</f>
        <v>4022798.4400000302</v>
      </c>
      <c r="D179" s="131">
        <f>SUM(D151:D178)</f>
        <v>239683.34099999996</v>
      </c>
      <c r="E179" s="131">
        <f>SUM(E151:E178)</f>
        <v>239683.34099999996</v>
      </c>
      <c r="F179" s="131"/>
      <c r="G179" s="131">
        <f>SUM(G151:G178)</f>
        <v>-443337.26799997035</v>
      </c>
    </row>
    <row r="180" spans="1:8" x14ac:dyDescent="0.2">
      <c r="B180" s="212"/>
      <c r="C180" s="67"/>
      <c r="D180" s="67"/>
      <c r="E180" s="67"/>
      <c r="F180" s="67"/>
      <c r="G180" s="67"/>
    </row>
    <row r="181" spans="1:8" x14ac:dyDescent="0.2">
      <c r="B181" s="97"/>
      <c r="C181" s="67"/>
      <c r="D181" s="67"/>
      <c r="E181" s="67"/>
      <c r="F181" s="67"/>
      <c r="G181" s="67"/>
    </row>
    <row r="182" spans="1:8" x14ac:dyDescent="0.2">
      <c r="B182" s="207" t="s">
        <v>220</v>
      </c>
      <c r="C182" s="207" t="s">
        <v>77</v>
      </c>
      <c r="D182" s="215" t="s">
        <v>130</v>
      </c>
      <c r="E182" s="215" t="s">
        <v>129</v>
      </c>
      <c r="F182" s="215"/>
      <c r="G182" s="215" t="s">
        <v>76</v>
      </c>
    </row>
    <row r="183" spans="1:8" x14ac:dyDescent="0.2">
      <c r="A183" s="57"/>
      <c r="B183" s="209"/>
      <c r="C183" s="210">
        <v>0</v>
      </c>
      <c r="D183" s="379">
        <v>0</v>
      </c>
      <c r="E183" s="209"/>
      <c r="F183" s="209"/>
      <c r="G183" s="209">
        <f>SUM(C183:F183)</f>
        <v>0</v>
      </c>
      <c r="H183" s="287"/>
    </row>
    <row r="184" spans="1:8" x14ac:dyDescent="0.2">
      <c r="B184" s="211" t="s">
        <v>221</v>
      </c>
      <c r="C184" s="131">
        <f>SUM(C183:C183)</f>
        <v>0</v>
      </c>
      <c r="D184" s="131">
        <f>SUM(D183:D183)</f>
        <v>0</v>
      </c>
      <c r="E184" s="131">
        <f>SUM(E183:E183)</f>
        <v>0</v>
      </c>
      <c r="F184" s="131"/>
      <c r="G184" s="131">
        <f>SUM(G183:G183)</f>
        <v>0</v>
      </c>
    </row>
    <row r="185" spans="1:8" x14ac:dyDescent="0.2">
      <c r="B185" s="212"/>
      <c r="C185" s="67"/>
      <c r="D185" s="67"/>
      <c r="E185" s="67"/>
      <c r="F185" s="67"/>
      <c r="G185" s="67"/>
    </row>
    <row r="187" spans="1:8" x14ac:dyDescent="0.2">
      <c r="A187" s="53" t="s">
        <v>360</v>
      </c>
      <c r="B187" s="335" t="s">
        <v>222</v>
      </c>
      <c r="C187" s="207" t="s">
        <v>77</v>
      </c>
      <c r="D187" s="215" t="s">
        <v>130</v>
      </c>
      <c r="E187" s="215" t="s">
        <v>129</v>
      </c>
      <c r="F187" s="215"/>
      <c r="G187" s="215" t="s">
        <v>76</v>
      </c>
    </row>
    <row r="188" spans="1:8" x14ac:dyDescent="0.2">
      <c r="B188" s="300"/>
      <c r="C188" s="300"/>
      <c r="D188" s="300"/>
      <c r="E188" s="300"/>
      <c r="F188" s="300"/>
      <c r="G188" s="300"/>
      <c r="H188" s="301"/>
    </row>
    <row r="189" spans="1:8" ht="15" x14ac:dyDescent="0.25">
      <c r="A189" s="57"/>
      <c r="B189" s="300" t="s">
        <v>422</v>
      </c>
      <c r="C189" s="387">
        <f>5005869.18-H189</f>
        <v>4998581.34</v>
      </c>
      <c r="D189" s="388">
        <f>C189*0.06</f>
        <v>299914.88039999997</v>
      </c>
      <c r="E189" s="388">
        <f>C189*0.06</f>
        <v>299914.88039999997</v>
      </c>
      <c r="F189" s="291"/>
      <c r="G189" s="291">
        <f>SUM(C189:F189)</f>
        <v>5598411.1008000001</v>
      </c>
      <c r="H189" s="287">
        <v>7287.84</v>
      </c>
    </row>
    <row r="190" spans="1:8" x14ac:dyDescent="0.2">
      <c r="B190" s="211" t="s">
        <v>223</v>
      </c>
      <c r="C190" s="131">
        <f>SUM(C188:C189)</f>
        <v>4998581.34</v>
      </c>
      <c r="D190" s="131">
        <f>SUM(D188:D189)</f>
        <v>299914.88039999997</v>
      </c>
      <c r="E190" s="131">
        <f>SUM(E188:E189)</f>
        <v>299914.88039999997</v>
      </c>
      <c r="F190" s="131"/>
      <c r="G190" s="131">
        <f>SUM(G188:G189)</f>
        <v>5598411.1008000001</v>
      </c>
    </row>
    <row r="191" spans="1:8" x14ac:dyDescent="0.2">
      <c r="B191" s="212"/>
      <c r="C191" s="67"/>
      <c r="D191" s="67"/>
      <c r="E191" s="67"/>
      <c r="F191" s="67"/>
      <c r="G191" s="67"/>
    </row>
    <row r="193" spans="1:8" x14ac:dyDescent="0.2">
      <c r="B193" s="207" t="s">
        <v>224</v>
      </c>
      <c r="C193" s="207" t="s">
        <v>77</v>
      </c>
      <c r="D193" s="215" t="s">
        <v>130</v>
      </c>
      <c r="E193" s="215" t="s">
        <v>129</v>
      </c>
      <c r="F193" s="215"/>
      <c r="G193" s="215" t="s">
        <v>76</v>
      </c>
    </row>
    <row r="194" spans="1:8" ht="15" x14ac:dyDescent="0.25">
      <c r="B194" s="267"/>
      <c r="C194" s="217"/>
      <c r="D194" s="217"/>
      <c r="E194" s="217"/>
      <c r="F194" s="217"/>
      <c r="G194" s="217"/>
      <c r="H194" s="287"/>
    </row>
    <row r="195" spans="1:8" x14ac:dyDescent="0.2">
      <c r="B195" s="218" t="s">
        <v>225</v>
      </c>
      <c r="C195" s="131">
        <f>SUM(C194:C194)</f>
        <v>0</v>
      </c>
      <c r="D195" s="364">
        <f>SUM(D194:D194)</f>
        <v>0</v>
      </c>
      <c r="E195" s="364">
        <f>SUM(E194:E194)</f>
        <v>0</v>
      </c>
      <c r="F195" s="364"/>
      <c r="G195" s="364">
        <f>SUM(G194:G194)</f>
        <v>0</v>
      </c>
    </row>
    <row r="196" spans="1:8" x14ac:dyDescent="0.2">
      <c r="B196" s="219"/>
      <c r="C196" s="67"/>
      <c r="D196" s="220"/>
      <c r="E196" s="220"/>
      <c r="F196" s="220"/>
      <c r="G196" s="220"/>
    </row>
    <row r="198" spans="1:8" ht="15" x14ac:dyDescent="0.25">
      <c r="A198" s="53" t="s">
        <v>360</v>
      </c>
      <c r="B198" s="334" t="s">
        <v>226</v>
      </c>
      <c r="C198" s="207" t="s">
        <v>77</v>
      </c>
      <c r="D198" s="182" t="s">
        <v>130</v>
      </c>
      <c r="E198" s="182" t="s">
        <v>129</v>
      </c>
      <c r="F198" s="182"/>
      <c r="G198" s="182" t="s">
        <v>76</v>
      </c>
    </row>
    <row r="199" spans="1:8" ht="15" x14ac:dyDescent="0.25">
      <c r="A199" s="57"/>
      <c r="B199" s="148"/>
      <c r="C199" s="346"/>
      <c r="D199" s="344"/>
      <c r="E199" s="378"/>
      <c r="F199" s="132"/>
      <c r="G199" s="87"/>
      <c r="H199" s="287"/>
    </row>
    <row r="200" spans="1:8" ht="15" x14ac:dyDescent="0.25">
      <c r="A200" s="57"/>
      <c r="B200" s="148" t="s">
        <v>423</v>
      </c>
      <c r="C200" s="346">
        <f>7718218.64200001-H200</f>
        <v>2561966.7360000098</v>
      </c>
      <c r="D200" s="344">
        <f>C200*0.06</f>
        <v>153718.00416000059</v>
      </c>
      <c r="E200" s="378">
        <f>C200*0.06</f>
        <v>153718.00416000059</v>
      </c>
      <c r="F200" s="132"/>
      <c r="G200" s="87">
        <f>SUM(C200:F200)</f>
        <v>2869402.7443200108</v>
      </c>
      <c r="H200" s="287">
        <v>5156251.9060000004</v>
      </c>
    </row>
    <row r="201" spans="1:8" ht="15" x14ac:dyDescent="0.25">
      <c r="A201" s="57"/>
      <c r="B201" s="148" t="s">
        <v>457</v>
      </c>
      <c r="C201" s="346">
        <f>9333674.41700001-H201</f>
        <v>4151810.6070000073</v>
      </c>
      <c r="D201" s="344">
        <v>560020.46502</v>
      </c>
      <c r="E201" s="378">
        <v>560020.46502</v>
      </c>
      <c r="F201" s="132"/>
      <c r="G201" s="87">
        <f>SUM(C201:F201)</f>
        <v>5271851.5370400073</v>
      </c>
      <c r="H201" s="287">
        <v>5181863.8100000033</v>
      </c>
    </row>
    <row r="202" spans="1:8" x14ac:dyDescent="0.2">
      <c r="B202" s="215" t="s">
        <v>227</v>
      </c>
      <c r="C202" s="131">
        <f>SUM(C199:C201)</f>
        <v>6713777.3430000171</v>
      </c>
      <c r="D202" s="131">
        <f>SUM(D199:D201)</f>
        <v>713738.4691800006</v>
      </c>
      <c r="E202" s="131">
        <f>SUM(E199:E201)</f>
        <v>713738.4691800006</v>
      </c>
      <c r="F202" s="131"/>
      <c r="G202" s="131">
        <f>SUM(G199:G201)</f>
        <v>8141254.2813600181</v>
      </c>
    </row>
    <row r="203" spans="1:8" x14ac:dyDescent="0.2">
      <c r="B203" s="221"/>
      <c r="C203" s="67"/>
      <c r="D203" s="67"/>
      <c r="E203" s="67"/>
      <c r="F203" s="67"/>
      <c r="G203" s="81"/>
    </row>
    <row r="204" spans="1:8" x14ac:dyDescent="0.2">
      <c r="D204" s="65"/>
      <c r="G204" s="81"/>
    </row>
    <row r="205" spans="1:8" x14ac:dyDescent="0.2">
      <c r="B205" s="222" t="s">
        <v>228</v>
      </c>
      <c r="C205" s="207" t="s">
        <v>77</v>
      </c>
      <c r="D205" s="183"/>
      <c r="E205" s="183"/>
      <c r="F205" s="183"/>
      <c r="G205" s="183"/>
    </row>
    <row r="206" spans="1:8" x14ac:dyDescent="0.2">
      <c r="A206" s="57"/>
      <c r="B206" s="135"/>
      <c r="C206" s="217"/>
      <c r="D206" s="132"/>
      <c r="E206" s="132"/>
      <c r="F206" s="132"/>
      <c r="G206" s="132">
        <f>SUM(G205:G205)</f>
        <v>0</v>
      </c>
      <c r="H206" s="287"/>
    </row>
    <row r="207" spans="1:8" x14ac:dyDescent="0.2">
      <c r="B207" s="215" t="s">
        <v>229</v>
      </c>
      <c r="C207" s="131">
        <f>SUM(C206:C206)</f>
        <v>0</v>
      </c>
      <c r="D207" s="131">
        <f>SUM(D206:D206)</f>
        <v>0</v>
      </c>
      <c r="E207" s="131">
        <f>SUM(E206:E206)</f>
        <v>0</v>
      </c>
      <c r="F207" s="131"/>
      <c r="G207" s="131">
        <f>SUM(G206:G206)</f>
        <v>0</v>
      </c>
    </row>
    <row r="208" spans="1:8" x14ac:dyDescent="0.2">
      <c r="B208" s="221"/>
      <c r="C208" s="67"/>
      <c r="D208" s="57"/>
      <c r="E208" s="57"/>
      <c r="F208" s="57"/>
      <c r="G208" s="57"/>
    </row>
    <row r="209" spans="1:8" x14ac:dyDescent="0.2">
      <c r="G209" s="78"/>
    </row>
    <row r="210" spans="1:8" ht="15" x14ac:dyDescent="0.25">
      <c r="A210" s="53" t="s">
        <v>360</v>
      </c>
      <c r="B210" s="334" t="s">
        <v>230</v>
      </c>
      <c r="C210" s="207" t="s">
        <v>77</v>
      </c>
      <c r="D210" s="182" t="s">
        <v>130</v>
      </c>
      <c r="E210" s="182" t="s">
        <v>129</v>
      </c>
      <c r="F210" s="183"/>
      <c r="G210" s="223" t="s">
        <v>76</v>
      </c>
    </row>
    <row r="211" spans="1:8" ht="15" x14ac:dyDescent="0.25">
      <c r="A211" s="57"/>
      <c r="B211" s="148"/>
      <c r="C211" s="34"/>
      <c r="D211" s="378"/>
      <c r="E211" s="378"/>
      <c r="F211" s="136"/>
      <c r="G211" s="379"/>
      <c r="H211" s="287"/>
    </row>
    <row r="212" spans="1:8" ht="15" x14ac:dyDescent="0.25">
      <c r="A212" s="57"/>
      <c r="B212" s="148" t="s">
        <v>382</v>
      </c>
      <c r="C212" s="34">
        <f>4863823.46-H212</f>
        <v>2154751.54</v>
      </c>
      <c r="D212" s="378">
        <v>291829.40759999998</v>
      </c>
      <c r="E212" s="378">
        <v>291829.40759999998</v>
      </c>
      <c r="F212" s="136"/>
      <c r="G212" s="379">
        <f>SUM(C212:F212)</f>
        <v>2738410.3552000001</v>
      </c>
      <c r="H212" s="287">
        <v>2709071.92</v>
      </c>
    </row>
    <row r="213" spans="1:8" ht="15" x14ac:dyDescent="0.25">
      <c r="A213" s="57"/>
      <c r="B213" s="148" t="s">
        <v>397</v>
      </c>
      <c r="C213" s="34">
        <f>3533666.98-H213</f>
        <v>2458380.09</v>
      </c>
      <c r="D213" s="378">
        <v>212020.01879999999</v>
      </c>
      <c r="E213" s="378">
        <v>212020.01879999999</v>
      </c>
      <c r="F213" s="136"/>
      <c r="G213" s="379">
        <f>SUM(C213:F213)</f>
        <v>2882420.1276000002</v>
      </c>
      <c r="H213" s="287">
        <v>1075286.8899999999</v>
      </c>
    </row>
    <row r="214" spans="1:8" ht="15" x14ac:dyDescent="0.25">
      <c r="A214" s="57"/>
      <c r="B214" s="148" t="s">
        <v>398</v>
      </c>
      <c r="C214" s="34">
        <v>659765.37</v>
      </c>
      <c r="D214" s="378">
        <v>59378.883300000001</v>
      </c>
      <c r="E214" s="378">
        <v>59378.883300000001</v>
      </c>
      <c r="F214" s="136"/>
      <c r="G214" s="379">
        <f>SUM(C214:F214)</f>
        <v>778523.13659999997</v>
      </c>
      <c r="H214" s="287"/>
    </row>
    <row r="215" spans="1:8" ht="15" x14ac:dyDescent="0.25">
      <c r="A215" s="57"/>
      <c r="B215" s="148" t="s">
        <v>452</v>
      </c>
      <c r="C215" s="34">
        <f>3482457.16-H215</f>
        <v>2953065.96</v>
      </c>
      <c r="D215" s="378">
        <v>208947.4296</v>
      </c>
      <c r="E215" s="378">
        <v>208947.4296</v>
      </c>
      <c r="F215" s="136"/>
      <c r="G215" s="379">
        <f>SUM(C215:F215)</f>
        <v>3370960.8191999998</v>
      </c>
      <c r="H215" s="287">
        <v>529391.19999999995</v>
      </c>
    </row>
    <row r="216" spans="1:8" ht="15" x14ac:dyDescent="0.25">
      <c r="A216" s="57"/>
      <c r="B216" s="148" t="s">
        <v>453</v>
      </c>
      <c r="C216" s="34">
        <v>687356.29</v>
      </c>
      <c r="D216" s="378">
        <v>61862.066099999996</v>
      </c>
      <c r="E216" s="378">
        <v>61862.066099999996</v>
      </c>
      <c r="F216" s="136"/>
      <c r="G216" s="379">
        <f>SUM(C216:F216)</f>
        <v>811080.42219999991</v>
      </c>
      <c r="H216" s="287"/>
    </row>
    <row r="217" spans="1:8" x14ac:dyDescent="0.2">
      <c r="B217" s="215" t="s">
        <v>231</v>
      </c>
      <c r="C217" s="131">
        <f>SUM(C211:C216)</f>
        <v>8913319.25</v>
      </c>
      <c r="D217" s="131">
        <f>SUM(D211:D216)</f>
        <v>834037.80539999995</v>
      </c>
      <c r="E217" s="131">
        <f>SUM(E211:E216)</f>
        <v>834037.80539999995</v>
      </c>
      <c r="F217" s="131"/>
      <c r="G217" s="131">
        <f>SUM(G211:G216)</f>
        <v>10581394.8608</v>
      </c>
    </row>
    <row r="218" spans="1:8" x14ac:dyDescent="0.2">
      <c r="B218" s="221"/>
      <c r="C218" s="67"/>
      <c r="D218" s="67"/>
      <c r="E218" s="67"/>
      <c r="F218" s="67"/>
      <c r="G218" s="67"/>
    </row>
    <row r="220" spans="1:8" x14ac:dyDescent="0.2">
      <c r="A220" s="53" t="s">
        <v>360</v>
      </c>
      <c r="B220" s="336" t="s">
        <v>232</v>
      </c>
      <c r="C220" s="365" t="s">
        <v>77</v>
      </c>
      <c r="D220" s="366" t="s">
        <v>130</v>
      </c>
      <c r="E220" s="366" t="s">
        <v>129</v>
      </c>
      <c r="F220" s="366"/>
      <c r="G220" s="182" t="s">
        <v>76</v>
      </c>
    </row>
    <row r="221" spans="1:8" ht="15" x14ac:dyDescent="0.25">
      <c r="A221" s="57"/>
      <c r="B221" s="143"/>
      <c r="C221" s="270"/>
      <c r="D221" s="378">
        <f>C221*6%</f>
        <v>0</v>
      </c>
      <c r="E221" s="378">
        <f>C221*6%</f>
        <v>0</v>
      </c>
      <c r="F221" s="224"/>
      <c r="G221" s="225"/>
      <c r="H221" s="287"/>
    </row>
    <row r="222" spans="1:8" ht="15" x14ac:dyDescent="0.25">
      <c r="A222" s="57"/>
      <c r="B222" s="143"/>
      <c r="C222" s="271">
        <v>0</v>
      </c>
      <c r="D222" s="378"/>
      <c r="E222" s="378"/>
      <c r="F222" s="136"/>
      <c r="G222" s="375">
        <f>SUM(C222:F222)</f>
        <v>0</v>
      </c>
      <c r="H222" s="287"/>
    </row>
    <row r="223" spans="1:8" ht="15" x14ac:dyDescent="0.25">
      <c r="A223" s="57"/>
      <c r="B223" s="143" t="s">
        <v>399</v>
      </c>
      <c r="C223" s="271">
        <f>69296.92-H223</f>
        <v>0</v>
      </c>
      <c r="D223" s="378">
        <v>4157.8152</v>
      </c>
      <c r="E223" s="378">
        <v>4157.8152</v>
      </c>
      <c r="F223" s="136"/>
      <c r="G223" s="375">
        <f>SUM(C223:F223)</f>
        <v>8315.6304</v>
      </c>
      <c r="H223" s="287">
        <v>69296.92</v>
      </c>
    </row>
    <row r="224" spans="1:8" x14ac:dyDescent="0.2">
      <c r="B224" s="215" t="s">
        <v>233</v>
      </c>
      <c r="C224" s="251">
        <f>SUM(C221:C223)</f>
        <v>0</v>
      </c>
      <c r="D224" s="251">
        <f>SUM(D221:D223)</f>
        <v>4157.8152</v>
      </c>
      <c r="E224" s="251">
        <f>SUM(E221:E223)</f>
        <v>4157.8152</v>
      </c>
      <c r="F224" s="251"/>
      <c r="G224" s="251">
        <f>SUM(G221:G223)</f>
        <v>8315.6304</v>
      </c>
    </row>
    <row r="225" spans="1:8" x14ac:dyDescent="0.2">
      <c r="B225" s="221"/>
      <c r="C225" s="214"/>
      <c r="D225" s="214"/>
      <c r="E225" s="214"/>
      <c r="F225" s="219"/>
      <c r="G225" s="214"/>
    </row>
    <row r="226" spans="1:8" x14ac:dyDescent="0.2">
      <c r="G226" s="226"/>
    </row>
    <row r="227" spans="1:8" x14ac:dyDescent="0.2">
      <c r="A227" s="53" t="s">
        <v>360</v>
      </c>
      <c r="B227" s="332" t="s">
        <v>234</v>
      </c>
      <c r="C227" s="368" t="s">
        <v>37</v>
      </c>
      <c r="D227" s="368"/>
      <c r="E227" s="368"/>
      <c r="F227" s="368"/>
      <c r="G227" s="227"/>
    </row>
    <row r="228" spans="1:8" x14ac:dyDescent="0.2">
      <c r="A228" s="57"/>
      <c r="B228" s="388" t="s">
        <v>147</v>
      </c>
      <c r="C228" s="295" t="s">
        <v>77</v>
      </c>
      <c r="D228" s="295" t="s">
        <v>130</v>
      </c>
      <c r="E228" s="295" t="s">
        <v>129</v>
      </c>
      <c r="F228" s="295" t="s">
        <v>156</v>
      </c>
      <c r="G228" s="295" t="s">
        <v>76</v>
      </c>
      <c r="H228" s="287"/>
    </row>
    <row r="229" spans="1:8" ht="15" x14ac:dyDescent="0.25">
      <c r="A229" s="57"/>
      <c r="B229" s="384"/>
      <c r="C229" s="299"/>
      <c r="D229" s="378"/>
      <c r="E229" s="378"/>
      <c r="F229" s="136"/>
      <c r="G229" s="298"/>
      <c r="H229" s="287"/>
    </row>
    <row r="230" spans="1:8" ht="15" x14ac:dyDescent="0.25">
      <c r="A230" s="57"/>
      <c r="B230" s="384" t="s">
        <v>381</v>
      </c>
      <c r="C230" s="299">
        <v>3572.16</v>
      </c>
      <c r="D230" s="378">
        <v>214.3296</v>
      </c>
      <c r="E230" s="378">
        <v>214.3296</v>
      </c>
      <c r="F230" s="136"/>
      <c r="G230" s="298">
        <f>SUM(C230:F230)</f>
        <v>4000.8191999999999</v>
      </c>
      <c r="H230" s="287"/>
    </row>
    <row r="231" spans="1:8" ht="15" x14ac:dyDescent="0.25">
      <c r="A231" s="57"/>
      <c r="B231" s="384" t="s">
        <v>404</v>
      </c>
      <c r="C231" s="299">
        <v>28034.672999999999</v>
      </c>
      <c r="D231" s="378">
        <v>1682.0803800000001</v>
      </c>
      <c r="E231" s="378">
        <v>1682.0803800000001</v>
      </c>
      <c r="F231" s="136"/>
      <c r="G231" s="298">
        <f>SUM(C231:F231)</f>
        <v>31398.833759999998</v>
      </c>
      <c r="H231" s="287"/>
    </row>
    <row r="232" spans="1:8" x14ac:dyDescent="0.2">
      <c r="B232" s="215" t="s">
        <v>235</v>
      </c>
      <c r="C232" s="131">
        <f>SUM(C228:C231)</f>
        <v>31606.832999999999</v>
      </c>
      <c r="D232" s="131">
        <f>SUM(D228:D231)</f>
        <v>1896.4099800000001</v>
      </c>
      <c r="E232" s="131">
        <f>SUM(E228:E231)</f>
        <v>1896.4099800000001</v>
      </c>
      <c r="F232" s="131"/>
      <c r="G232" s="131">
        <f>SUM(G228:G231)</f>
        <v>35399.652959999999</v>
      </c>
    </row>
    <row r="233" spans="1:8" x14ac:dyDescent="0.2">
      <c r="B233" s="221"/>
      <c r="C233" s="67"/>
      <c r="D233" s="67"/>
      <c r="E233" s="67"/>
      <c r="F233" s="67"/>
      <c r="G233" s="80"/>
    </row>
    <row r="234" spans="1:8" x14ac:dyDescent="0.2">
      <c r="B234" s="80"/>
      <c r="G234" s="80"/>
    </row>
    <row r="235" spans="1:8" x14ac:dyDescent="0.2">
      <c r="A235" s="53" t="s">
        <v>360</v>
      </c>
      <c r="B235" s="333" t="s">
        <v>236</v>
      </c>
      <c r="C235" s="228" t="s">
        <v>77</v>
      </c>
      <c r="D235" s="229" t="s">
        <v>130</v>
      </c>
      <c r="E235" s="229" t="s">
        <v>129</v>
      </c>
      <c r="F235" s="229"/>
      <c r="G235" s="230" t="s">
        <v>76</v>
      </c>
    </row>
    <row r="236" spans="1:8" x14ac:dyDescent="0.2">
      <c r="A236" s="57"/>
      <c r="B236" s="145"/>
      <c r="C236" s="389"/>
      <c r="D236" s="209"/>
      <c r="E236" s="379"/>
      <c r="F236" s="209"/>
      <c r="G236" s="388"/>
      <c r="H236" s="287"/>
    </row>
    <row r="237" spans="1:8" x14ac:dyDescent="0.2">
      <c r="A237" s="57"/>
      <c r="B237" s="145" t="s">
        <v>362</v>
      </c>
      <c r="C237" s="389">
        <v>106895.02</v>
      </c>
      <c r="D237" s="389">
        <v>9620.5517999999993</v>
      </c>
      <c r="E237" s="389">
        <v>9620.5517999999993</v>
      </c>
      <c r="F237" s="389"/>
      <c r="G237" s="389">
        <f>SUM(C237:F237)</f>
        <v>126136.12360000001</v>
      </c>
      <c r="H237" s="287"/>
    </row>
    <row r="238" spans="1:8" x14ac:dyDescent="0.2">
      <c r="A238" s="57"/>
      <c r="B238" s="145" t="s">
        <v>440</v>
      </c>
      <c r="C238" s="389">
        <v>9150720.3800000008</v>
      </c>
      <c r="D238" s="389">
        <v>563503.69422000099</v>
      </c>
      <c r="E238" s="389">
        <v>563503.69422000099</v>
      </c>
      <c r="F238" s="389"/>
      <c r="G238" s="389">
        <f>SUM(C238:F238)</f>
        <v>10277727.768440003</v>
      </c>
      <c r="H238" s="287"/>
    </row>
    <row r="239" spans="1:8" x14ac:dyDescent="0.2">
      <c r="A239" s="57"/>
      <c r="B239" s="145" t="s">
        <v>405</v>
      </c>
      <c r="C239" s="389">
        <v>19200</v>
      </c>
      <c r="D239" s="389">
        <v>1152</v>
      </c>
      <c r="E239" s="389">
        <v>1152</v>
      </c>
      <c r="F239" s="389"/>
      <c r="G239" s="389">
        <f>SUM(C239:F239)</f>
        <v>21504</v>
      </c>
      <c r="H239" s="287"/>
    </row>
    <row r="240" spans="1:8" x14ac:dyDescent="0.2">
      <c r="A240" s="57"/>
      <c r="B240" s="145" t="s">
        <v>457</v>
      </c>
      <c r="C240" s="389">
        <v>9860198.6859999895</v>
      </c>
      <c r="D240" s="389">
        <v>591611.92115999898</v>
      </c>
      <c r="E240" s="389">
        <v>591611.92115999898</v>
      </c>
      <c r="F240" s="389"/>
      <c r="G240" s="389">
        <f>SUM(C240:F240)</f>
        <v>11043422.528319988</v>
      </c>
      <c r="H240" s="287"/>
    </row>
    <row r="241" spans="1:8" x14ac:dyDescent="0.2">
      <c r="B241" s="215" t="s">
        <v>237</v>
      </c>
      <c r="C241" s="251">
        <f>SUM(C236:C240)</f>
        <v>19137014.085999988</v>
      </c>
      <c r="D241" s="251">
        <f>SUM(D236:D240)</f>
        <v>1165888.1671799999</v>
      </c>
      <c r="E241" s="251">
        <f>SUM(E236:E240)</f>
        <v>1165888.1671799999</v>
      </c>
      <c r="F241" s="251"/>
      <c r="G241" s="251">
        <f>SUM(G236:G240)</f>
        <v>21468790.420359991</v>
      </c>
    </row>
    <row r="242" spans="1:8" x14ac:dyDescent="0.2">
      <c r="B242" s="67"/>
      <c r="C242" s="214"/>
      <c r="D242" s="214"/>
      <c r="E242" s="214"/>
      <c r="F242" s="214"/>
      <c r="G242" s="82"/>
    </row>
    <row r="243" spans="1:8" x14ac:dyDescent="0.2">
      <c r="G243" s="82"/>
    </row>
    <row r="244" spans="1:8" x14ac:dyDescent="0.2">
      <c r="A244" s="53" t="s">
        <v>360</v>
      </c>
      <c r="B244" s="337" t="s">
        <v>238</v>
      </c>
      <c r="C244" s="228" t="s">
        <v>77</v>
      </c>
      <c r="D244" s="229" t="s">
        <v>130</v>
      </c>
      <c r="E244" s="229" t="s">
        <v>129</v>
      </c>
      <c r="F244" s="229"/>
      <c r="G244" s="207" t="s">
        <v>76</v>
      </c>
    </row>
    <row r="245" spans="1:8" x14ac:dyDescent="0.2">
      <c r="A245" s="57"/>
      <c r="B245" s="266"/>
      <c r="C245" s="388"/>
      <c r="D245" s="303"/>
      <c r="E245" s="384"/>
      <c r="F245" s="303"/>
      <c r="G245" s="303"/>
      <c r="H245" s="287"/>
    </row>
    <row r="246" spans="1:8" x14ac:dyDescent="0.2">
      <c r="A246" s="57"/>
      <c r="B246" s="266" t="s">
        <v>441</v>
      </c>
      <c r="C246" s="384">
        <f>1690143.92-H246</f>
        <v>1064016.1299999999</v>
      </c>
      <c r="D246" s="303">
        <v>101408.6352</v>
      </c>
      <c r="E246" s="384">
        <v>101408.6352</v>
      </c>
      <c r="F246" s="303"/>
      <c r="G246" s="303">
        <f>SUM(C246:F246)</f>
        <v>1266833.4003999997</v>
      </c>
      <c r="H246" s="287">
        <v>626127.79</v>
      </c>
    </row>
    <row r="247" spans="1:8" x14ac:dyDescent="0.2">
      <c r="A247" s="57"/>
      <c r="B247" s="266" t="s">
        <v>442</v>
      </c>
      <c r="C247" s="384">
        <f>1910033.8-H247</f>
        <v>874939</v>
      </c>
      <c r="D247" s="303">
        <v>114602.02800000001</v>
      </c>
      <c r="E247" s="384">
        <v>114602.02800000001</v>
      </c>
      <c r="F247" s="303"/>
      <c r="G247" s="303">
        <f>SUM(C247:F247)</f>
        <v>1104143.0560000001</v>
      </c>
      <c r="H247" s="287">
        <v>1035094.8</v>
      </c>
    </row>
    <row r="248" spans="1:8" x14ac:dyDescent="0.2">
      <c r="A248" s="57"/>
      <c r="B248" s="266" t="s">
        <v>466</v>
      </c>
      <c r="C248" s="384">
        <f>2156602-H248</f>
        <v>776849.78</v>
      </c>
      <c r="D248" s="303">
        <v>129396.12300000001</v>
      </c>
      <c r="E248" s="384">
        <v>129396.12300000001</v>
      </c>
      <c r="F248" s="303"/>
      <c r="G248" s="303">
        <f>SUM(C248:F248)</f>
        <v>1035642.0260000001</v>
      </c>
      <c r="H248" s="287">
        <v>1379752.22</v>
      </c>
    </row>
    <row r="249" spans="1:8" x14ac:dyDescent="0.2">
      <c r="B249" s="215" t="s">
        <v>239</v>
      </c>
      <c r="C249" s="251">
        <f>SUM(C245:C248)</f>
        <v>2715804.91</v>
      </c>
      <c r="D249" s="251">
        <f>SUM(D245:D248)</f>
        <v>345406.78620000003</v>
      </c>
      <c r="E249" s="251">
        <f>SUM(E245:E248)</f>
        <v>345406.78620000003</v>
      </c>
      <c r="F249" s="251"/>
      <c r="G249" s="251">
        <f>SUM(G245:G248)</f>
        <v>3406618.4823999996</v>
      </c>
    </row>
    <row r="250" spans="1:8" x14ac:dyDescent="0.2">
      <c r="B250" s="221"/>
      <c r="C250" s="214"/>
      <c r="D250" s="214"/>
      <c r="E250" s="214"/>
      <c r="F250" s="214"/>
      <c r="G250" s="231"/>
    </row>
    <row r="251" spans="1:8" x14ac:dyDescent="0.2">
      <c r="G251" s="231"/>
    </row>
    <row r="252" spans="1:8" x14ac:dyDescent="0.2">
      <c r="A252" s="53" t="s">
        <v>360</v>
      </c>
      <c r="B252" s="338" t="s">
        <v>240</v>
      </c>
      <c r="C252" s="228" t="s">
        <v>77</v>
      </c>
      <c r="D252" s="229" t="s">
        <v>130</v>
      </c>
      <c r="E252" s="229" t="s">
        <v>129</v>
      </c>
      <c r="F252" s="229"/>
      <c r="G252" s="230" t="s">
        <v>76</v>
      </c>
    </row>
    <row r="253" spans="1:8" x14ac:dyDescent="0.2">
      <c r="A253" s="325"/>
      <c r="B253" s="266"/>
      <c r="C253" s="375"/>
      <c r="D253" s="376"/>
      <c r="E253" s="376"/>
      <c r="F253" s="266"/>
      <c r="G253" s="376"/>
      <c r="H253" s="326"/>
    </row>
    <row r="254" spans="1:8" ht="15" x14ac:dyDescent="0.25">
      <c r="A254" s="325"/>
      <c r="B254" s="266" t="s">
        <v>421</v>
      </c>
      <c r="C254" s="330">
        <f>21955109.008-H254</f>
        <v>19389099.148000002</v>
      </c>
      <c r="D254" s="376">
        <f>C254*0.06</f>
        <v>1163345.94888</v>
      </c>
      <c r="E254" s="376">
        <f>C254*0.06</f>
        <v>1163345.94888</v>
      </c>
      <c r="F254" s="266"/>
      <c r="G254" s="376">
        <f>SUM(C254:F254)</f>
        <v>21715791.045760006</v>
      </c>
      <c r="H254" s="342">
        <v>2566009.86</v>
      </c>
    </row>
    <row r="255" spans="1:8" ht="15" x14ac:dyDescent="0.25">
      <c r="A255" s="325"/>
      <c r="B255" s="266" t="s">
        <v>448</v>
      </c>
      <c r="C255" s="377">
        <v>200379.24400000006</v>
      </c>
      <c r="D255" s="376">
        <f>C255*0.06</f>
        <v>12022.754640000003</v>
      </c>
      <c r="E255" s="376">
        <f>C255*0.06</f>
        <v>12022.754640000003</v>
      </c>
      <c r="F255" s="266"/>
      <c r="G255" s="376">
        <f>SUM(C255:F255)</f>
        <v>224424.75328000006</v>
      </c>
      <c r="H255" s="326"/>
    </row>
    <row r="256" spans="1:8" x14ac:dyDescent="0.2">
      <c r="B256" s="215" t="s">
        <v>241</v>
      </c>
      <c r="C256" s="131">
        <f>SUM(C253:C255)</f>
        <v>19589478.392000001</v>
      </c>
      <c r="D256" s="131">
        <f>SUM(D253:D255)</f>
        <v>1175368.70352</v>
      </c>
      <c r="E256" s="131">
        <f>SUM(E253:E255)</f>
        <v>1175368.70352</v>
      </c>
      <c r="F256" s="131"/>
      <c r="G256" s="131">
        <f>SUM(G253:G255)</f>
        <v>21940215.799040005</v>
      </c>
    </row>
    <row r="257" spans="1:8" x14ac:dyDescent="0.2">
      <c r="B257" s="67"/>
      <c r="C257" s="67"/>
      <c r="D257" s="67"/>
      <c r="E257" s="67"/>
      <c r="F257" s="67"/>
    </row>
    <row r="258" spans="1:8" x14ac:dyDescent="0.2">
      <c r="D258" s="80"/>
    </row>
    <row r="259" spans="1:8" x14ac:dyDescent="0.2">
      <c r="B259" s="338" t="s">
        <v>242</v>
      </c>
      <c r="C259" s="228" t="s">
        <v>77</v>
      </c>
      <c r="D259" s="228" t="s">
        <v>155</v>
      </c>
      <c r="E259" s="228" t="s">
        <v>129</v>
      </c>
      <c r="F259" s="228"/>
      <c r="G259" s="215" t="s">
        <v>76</v>
      </c>
    </row>
    <row r="260" spans="1:8" x14ac:dyDescent="0.2">
      <c r="A260" s="57"/>
      <c r="B260" s="233"/>
      <c r="C260" s="246"/>
      <c r="D260" s="209"/>
      <c r="E260" s="379"/>
      <c r="F260" s="209"/>
      <c r="G260" s="295"/>
      <c r="H260" s="287"/>
    </row>
    <row r="261" spans="1:8" ht="15" x14ac:dyDescent="0.25">
      <c r="A261" s="57"/>
      <c r="B261" s="233" t="s">
        <v>422</v>
      </c>
      <c r="C261" s="387">
        <v>673806.54499999993</v>
      </c>
      <c r="D261" s="209">
        <f>C261*0.06</f>
        <v>40428.392699999997</v>
      </c>
      <c r="E261" s="379">
        <f>C261*0.06</f>
        <v>40428.392699999997</v>
      </c>
      <c r="F261" s="209"/>
      <c r="G261" s="295">
        <f>SUM(C261:F261)</f>
        <v>754663.33039999986</v>
      </c>
      <c r="H261" s="287"/>
    </row>
    <row r="262" spans="1:8" x14ac:dyDescent="0.2">
      <c r="B262" s="215" t="s">
        <v>243</v>
      </c>
      <c r="C262" s="131">
        <f>SUM(C260:C261)</f>
        <v>673806.54499999993</v>
      </c>
      <c r="D262" s="131">
        <f>SUM(D260:D261)</f>
        <v>40428.392699999997</v>
      </c>
      <c r="E262" s="131">
        <f>SUM(E260:E261)</f>
        <v>40428.392699999997</v>
      </c>
      <c r="F262" s="131"/>
      <c r="G262" s="131">
        <f>SUM(G260:G261)</f>
        <v>754663.33039999986</v>
      </c>
    </row>
    <row r="263" spans="1:8" x14ac:dyDescent="0.2">
      <c r="B263" s="67"/>
      <c r="C263" s="67"/>
      <c r="D263" s="67"/>
      <c r="E263" s="67"/>
      <c r="F263" s="67"/>
    </row>
    <row r="264" spans="1:8" x14ac:dyDescent="0.2">
      <c r="B264" s="67"/>
      <c r="C264" s="67"/>
      <c r="D264" s="67"/>
      <c r="E264" s="67"/>
      <c r="F264" s="67"/>
    </row>
    <row r="265" spans="1:8" x14ac:dyDescent="0.2">
      <c r="A265" s="53" t="s">
        <v>360</v>
      </c>
      <c r="B265" s="338" t="s">
        <v>244</v>
      </c>
      <c r="C265" s="228" t="s">
        <v>77</v>
      </c>
      <c r="D265" s="229" t="s">
        <v>130</v>
      </c>
      <c r="E265" s="229" t="s">
        <v>129</v>
      </c>
      <c r="F265" s="229"/>
      <c r="G265" s="215" t="s">
        <v>76</v>
      </c>
    </row>
    <row r="266" spans="1:8" ht="15" x14ac:dyDescent="0.25">
      <c r="A266" s="57"/>
      <c r="B266" s="233" t="s">
        <v>422</v>
      </c>
      <c r="C266" s="299">
        <v>178281.49</v>
      </c>
      <c r="D266" s="383">
        <f>C266*6%</f>
        <v>10696.889399999998</v>
      </c>
      <c r="E266" s="383">
        <f>C266*6%</f>
        <v>10696.889399999998</v>
      </c>
      <c r="F266" s="225"/>
      <c r="G266" s="136">
        <f>SUM(C266:F266)</f>
        <v>199675.26879999996</v>
      </c>
      <c r="H266" s="287"/>
    </row>
    <row r="267" spans="1:8" x14ac:dyDescent="0.2">
      <c r="B267" s="215" t="s">
        <v>245</v>
      </c>
      <c r="C267" s="131">
        <f>SUM(C266:C266)</f>
        <v>178281.49</v>
      </c>
      <c r="D267" s="131">
        <f>SUM(D266:D266)</f>
        <v>10696.889399999998</v>
      </c>
      <c r="E267" s="131">
        <f>SUM(E266:E266)</f>
        <v>10696.889399999998</v>
      </c>
      <c r="F267" s="131"/>
      <c r="G267" s="131">
        <f>SUM(G266:G266)</f>
        <v>199675.26879999996</v>
      </c>
    </row>
    <row r="268" spans="1:8" x14ac:dyDescent="0.2">
      <c r="B268" s="221"/>
      <c r="C268" s="67"/>
      <c r="D268" s="67"/>
      <c r="E268" s="67"/>
      <c r="F268" s="67"/>
      <c r="G268" s="80"/>
    </row>
    <row r="269" spans="1:8" x14ac:dyDescent="0.2">
      <c r="G269" s="80"/>
    </row>
    <row r="270" spans="1:8" x14ac:dyDescent="0.2">
      <c r="A270" s="53" t="s">
        <v>360</v>
      </c>
      <c r="B270" s="338" t="s">
        <v>246</v>
      </c>
      <c r="C270" s="228" t="s">
        <v>77</v>
      </c>
      <c r="D270" s="229" t="s">
        <v>130</v>
      </c>
      <c r="E270" s="229" t="s">
        <v>129</v>
      </c>
      <c r="F270" s="229"/>
      <c r="G270" s="215">
        <f>SUM(G267:G269)</f>
        <v>199675.26879999996</v>
      </c>
    </row>
    <row r="271" spans="1:8" x14ac:dyDescent="0.2">
      <c r="B271" s="306"/>
      <c r="C271" s="303"/>
      <c r="D271" s="298"/>
      <c r="E271" s="298"/>
      <c r="F271" s="298"/>
      <c r="G271" s="295"/>
      <c r="H271" s="287"/>
    </row>
    <row r="272" spans="1:8" x14ac:dyDescent="0.2">
      <c r="B272" s="306" t="s">
        <v>406</v>
      </c>
      <c r="C272" s="303">
        <v>5640362.9340000097</v>
      </c>
      <c r="D272" s="298">
        <v>338421.77604000003</v>
      </c>
      <c r="E272" s="298">
        <v>338421.77604000003</v>
      </c>
      <c r="F272" s="298"/>
      <c r="G272" s="295">
        <f>SUM(C272:F272)</f>
        <v>6317206.4860800095</v>
      </c>
      <c r="H272" s="287"/>
    </row>
    <row r="273" spans="1:8" x14ac:dyDescent="0.2">
      <c r="B273" s="306" t="s">
        <v>467</v>
      </c>
      <c r="C273" s="303">
        <v>6267289.5860000001</v>
      </c>
      <c r="D273" s="298">
        <v>376037.37516</v>
      </c>
      <c r="E273" s="298">
        <v>376037.37516</v>
      </c>
      <c r="F273" s="298"/>
      <c r="G273" s="295">
        <f>SUM(C273:F273)</f>
        <v>7019364.3363200007</v>
      </c>
      <c r="H273" s="287"/>
    </row>
    <row r="274" spans="1:8" x14ac:dyDescent="0.2">
      <c r="B274" s="215" t="s">
        <v>247</v>
      </c>
      <c r="C274" s="131">
        <f>SUM(C271:C273)</f>
        <v>11907652.520000011</v>
      </c>
      <c r="D274" s="131">
        <f>SUM(D271:D273)</f>
        <v>714459.15119999996</v>
      </c>
      <c r="E274" s="131">
        <f>SUM(E271:E273)</f>
        <v>714459.15119999996</v>
      </c>
      <c r="F274" s="131"/>
      <c r="G274" s="131">
        <f>SUM(G271:G273)</f>
        <v>13336570.822400011</v>
      </c>
    </row>
    <row r="275" spans="1:8" x14ac:dyDescent="0.2">
      <c r="B275" s="67"/>
      <c r="C275" s="67"/>
      <c r="D275" s="67"/>
      <c r="E275" s="67"/>
      <c r="F275" s="67"/>
      <c r="G275" s="96"/>
    </row>
    <row r="276" spans="1:8" x14ac:dyDescent="0.2">
      <c r="D276" s="65"/>
      <c r="G276" s="96"/>
    </row>
    <row r="277" spans="1:8" x14ac:dyDescent="0.2">
      <c r="A277" s="53" t="s">
        <v>360</v>
      </c>
      <c r="B277" s="339" t="s">
        <v>248</v>
      </c>
      <c r="C277" s="215" t="s">
        <v>81</v>
      </c>
      <c r="D277" s="215" t="s">
        <v>130</v>
      </c>
      <c r="E277" s="215" t="s">
        <v>129</v>
      </c>
      <c r="F277" s="215"/>
      <c r="G277" s="234" t="s">
        <v>76</v>
      </c>
    </row>
    <row r="278" spans="1:8" x14ac:dyDescent="0.2">
      <c r="B278" s="302"/>
      <c r="C278" s="291"/>
      <c r="D278" s="388"/>
      <c r="E278" s="291"/>
      <c r="F278" s="291"/>
      <c r="G278" s="291"/>
      <c r="H278" s="287"/>
    </row>
    <row r="279" spans="1:8" x14ac:dyDescent="0.2">
      <c r="B279" s="329" t="s">
        <v>344</v>
      </c>
      <c r="C279" s="291">
        <v>128689</v>
      </c>
      <c r="D279" s="384">
        <f>C279*6%</f>
        <v>7721.34</v>
      </c>
      <c r="E279" s="384">
        <f>C279*6%</f>
        <v>7721.34</v>
      </c>
      <c r="F279" s="291"/>
      <c r="G279" s="291">
        <f t="shared" ref="G279:G282" si="11">SUM(C279:F279)</f>
        <v>144131.68</v>
      </c>
      <c r="H279" s="287"/>
    </row>
    <row r="280" spans="1:8" x14ac:dyDescent="0.2">
      <c r="B280" s="304" t="s">
        <v>345</v>
      </c>
      <c r="C280" s="291">
        <v>49640</v>
      </c>
      <c r="D280" s="384">
        <f>C280*9%</f>
        <v>4467.5999999999995</v>
      </c>
      <c r="E280" s="303">
        <f>C280*9%</f>
        <v>4467.5999999999995</v>
      </c>
      <c r="F280" s="291"/>
      <c r="G280" s="291">
        <f t="shared" si="11"/>
        <v>58575.199999999997</v>
      </c>
      <c r="H280" s="287"/>
    </row>
    <row r="281" spans="1:8" x14ac:dyDescent="0.2">
      <c r="B281" s="304" t="s">
        <v>372</v>
      </c>
      <c r="C281" s="291">
        <v>41821</v>
      </c>
      <c r="D281" s="384">
        <v>3763.89</v>
      </c>
      <c r="E281" s="303">
        <v>3763.89</v>
      </c>
      <c r="F281" s="291"/>
      <c r="G281" s="291">
        <f t="shared" si="11"/>
        <v>49348.78</v>
      </c>
      <c r="H281" s="287"/>
    </row>
    <row r="282" spans="1:8" x14ac:dyDescent="0.2">
      <c r="B282" s="304" t="s">
        <v>373</v>
      </c>
      <c r="C282" s="291">
        <v>26322.01</v>
      </c>
      <c r="D282" s="384">
        <v>2368.9809</v>
      </c>
      <c r="E282" s="303">
        <v>2368.9809</v>
      </c>
      <c r="F282" s="291"/>
      <c r="G282" s="291">
        <f t="shared" si="11"/>
        <v>31059.971799999996</v>
      </c>
      <c r="H282" s="287"/>
    </row>
    <row r="283" spans="1:8" x14ac:dyDescent="0.2">
      <c r="B283" s="235" t="s">
        <v>249</v>
      </c>
      <c r="C283" s="251">
        <f>SUM(C278:C282)</f>
        <v>246472.01</v>
      </c>
      <c r="D283" s="251">
        <f>SUM(D278:D282)</f>
        <v>18321.810899999997</v>
      </c>
      <c r="E283" s="251">
        <f>SUM(E278:E282)</f>
        <v>18321.810899999997</v>
      </c>
      <c r="F283" s="251"/>
      <c r="G283" s="251">
        <f>SUM(G278:G282)</f>
        <v>283115.63179999997</v>
      </c>
    </row>
    <row r="284" spans="1:8" x14ac:dyDescent="0.2">
      <c r="B284" s="236"/>
      <c r="C284" s="214"/>
      <c r="D284" s="214"/>
      <c r="E284" s="214"/>
      <c r="F284" s="214"/>
      <c r="G284" s="96"/>
    </row>
    <row r="285" spans="1:8" x14ac:dyDescent="0.2">
      <c r="G285" s="96"/>
    </row>
    <row r="286" spans="1:8" x14ac:dyDescent="0.2">
      <c r="B286" s="338" t="s">
        <v>250</v>
      </c>
      <c r="C286" s="228" t="s">
        <v>77</v>
      </c>
      <c r="D286" s="229" t="s">
        <v>130</v>
      </c>
      <c r="E286" s="229" t="s">
        <v>129</v>
      </c>
      <c r="F286" s="229"/>
      <c r="G286" s="218" t="s">
        <v>76</v>
      </c>
    </row>
    <row r="287" spans="1:8" x14ac:dyDescent="0.2">
      <c r="B287" s="144"/>
      <c r="C287" s="384"/>
      <c r="D287" s="384"/>
      <c r="E287" s="384"/>
      <c r="F287" s="384"/>
      <c r="G287" s="132"/>
      <c r="H287" s="287"/>
    </row>
    <row r="288" spans="1:8" x14ac:dyDescent="0.2">
      <c r="B288" s="144" t="s">
        <v>358</v>
      </c>
      <c r="C288" s="384">
        <v>48070.1</v>
      </c>
      <c r="D288" s="384">
        <f t="shared" ref="D288" si="12">C288*0.06</f>
        <v>2884.2059999999997</v>
      </c>
      <c r="E288" s="384">
        <f t="shared" ref="E288" si="13">C288*0.06</f>
        <v>2884.2059999999997</v>
      </c>
      <c r="F288" s="384"/>
      <c r="G288" s="378">
        <f t="shared" ref="G288" si="14">SUM(C288:F288)</f>
        <v>53838.511999999995</v>
      </c>
      <c r="H288" s="287"/>
    </row>
    <row r="289" spans="2:8" x14ac:dyDescent="0.2">
      <c r="B289" s="144" t="s">
        <v>444</v>
      </c>
      <c r="C289" s="384">
        <v>1523626.69</v>
      </c>
      <c r="D289" s="384">
        <f>C289*0.06</f>
        <v>91417.6014</v>
      </c>
      <c r="E289" s="384">
        <f>C289*0.06</f>
        <v>91417.6014</v>
      </c>
      <c r="F289" s="384"/>
      <c r="G289" s="378">
        <f>SUM(C289:F289)</f>
        <v>1706461.8928</v>
      </c>
      <c r="H289" s="287"/>
    </row>
    <row r="290" spans="2:8" x14ac:dyDescent="0.2">
      <c r="B290" s="144" t="s">
        <v>468</v>
      </c>
      <c r="C290" s="384">
        <v>2586701.79</v>
      </c>
      <c r="D290" s="384">
        <f>C290*0.06</f>
        <v>155202.10740000001</v>
      </c>
      <c r="E290" s="384">
        <f>C290*0.06</f>
        <v>155202.10740000001</v>
      </c>
      <c r="F290" s="384"/>
      <c r="G290" s="378">
        <f>SUM(C290:F290)</f>
        <v>2897106.0048000002</v>
      </c>
      <c r="H290" s="287"/>
    </row>
    <row r="291" spans="2:8" x14ac:dyDescent="0.2">
      <c r="B291" s="215" t="s">
        <v>251</v>
      </c>
      <c r="C291" s="251">
        <f>SUM(C287:C290)</f>
        <v>4158398.58</v>
      </c>
      <c r="D291" s="251">
        <f>SUM(D287:D290)</f>
        <v>249503.91480000003</v>
      </c>
      <c r="E291" s="251">
        <f>SUM(E287:E290)</f>
        <v>249503.91480000003</v>
      </c>
      <c r="F291" s="251"/>
      <c r="G291" s="251">
        <f>SUM(G287:G290)</f>
        <v>4657406.4096000008</v>
      </c>
    </row>
    <row r="292" spans="2:8" x14ac:dyDescent="0.2">
      <c r="B292" s="67"/>
      <c r="C292" s="214"/>
      <c r="D292" s="214"/>
      <c r="E292" s="214"/>
      <c r="F292" s="214"/>
      <c r="G292" s="36"/>
    </row>
    <row r="294" spans="2:8" x14ac:dyDescent="0.2">
      <c r="B294" s="228" t="s">
        <v>252</v>
      </c>
      <c r="C294" s="228" t="s">
        <v>77</v>
      </c>
      <c r="D294" s="229" t="s">
        <v>130</v>
      </c>
      <c r="E294" s="229" t="s">
        <v>129</v>
      </c>
      <c r="F294" s="229"/>
      <c r="G294" s="182" t="s">
        <v>76</v>
      </c>
    </row>
    <row r="295" spans="2:8" x14ac:dyDescent="0.2">
      <c r="B295" s="132"/>
      <c r="C295" s="303"/>
      <c r="D295" s="391"/>
      <c r="E295" s="378"/>
      <c r="F295" s="132"/>
      <c r="G295" s="258"/>
      <c r="H295" s="287"/>
    </row>
    <row r="296" spans="2:8" x14ac:dyDescent="0.2">
      <c r="B296" s="215" t="s">
        <v>253</v>
      </c>
      <c r="C296" s="34">
        <f>SUM(C295:C295)</f>
        <v>0</v>
      </c>
      <c r="D296" s="34">
        <f>SUM(D295:D295)</f>
        <v>0</v>
      </c>
      <c r="E296" s="34">
        <f>SUM(E295:E295)</f>
        <v>0</v>
      </c>
      <c r="F296" s="34"/>
      <c r="G296" s="34">
        <f>SUM(G295:G295)</f>
        <v>0</v>
      </c>
    </row>
    <row r="297" spans="2:8" x14ac:dyDescent="0.2">
      <c r="B297" s="221"/>
      <c r="C297" s="36"/>
      <c r="D297" s="36"/>
      <c r="E297" s="36"/>
      <c r="F297" s="36"/>
    </row>
    <row r="299" spans="2:8" x14ac:dyDescent="0.2">
      <c r="B299" s="338" t="s">
        <v>254</v>
      </c>
      <c r="C299" s="228" t="s">
        <v>77</v>
      </c>
      <c r="D299" s="182" t="s">
        <v>130</v>
      </c>
      <c r="E299" s="182" t="s">
        <v>129</v>
      </c>
      <c r="F299" s="183"/>
      <c r="G299" s="237" t="s">
        <v>76</v>
      </c>
    </row>
    <row r="300" spans="2:8" x14ac:dyDescent="0.2">
      <c r="B300" s="306"/>
      <c r="C300" s="306"/>
      <c r="D300" s="306"/>
      <c r="E300" s="306"/>
      <c r="F300" s="306"/>
      <c r="G300" s="306"/>
      <c r="H300" s="287"/>
    </row>
    <row r="301" spans="2:8" x14ac:dyDescent="0.2">
      <c r="B301" s="306" t="s">
        <v>493</v>
      </c>
      <c r="C301" s="306">
        <v>17049281.449999999</v>
      </c>
      <c r="D301" s="306">
        <v>1022956.887</v>
      </c>
      <c r="E301" s="306">
        <v>1022956.887</v>
      </c>
      <c r="F301" s="306"/>
      <c r="G301" s="306">
        <f>SUM(C301:F301)</f>
        <v>19095195.223999996</v>
      </c>
      <c r="H301" s="287"/>
    </row>
    <row r="302" spans="2:8" x14ac:dyDescent="0.2">
      <c r="B302" s="306" t="s">
        <v>494</v>
      </c>
      <c r="C302" s="306">
        <v>263124.59999999998</v>
      </c>
      <c r="D302" s="306">
        <v>15787.476000000001</v>
      </c>
      <c r="E302" s="306">
        <v>15787.476000000001</v>
      </c>
      <c r="F302" s="306"/>
      <c r="G302" s="306">
        <f>SUM(C302:F302)</f>
        <v>294699.55200000003</v>
      </c>
      <c r="H302" s="287"/>
    </row>
    <row r="303" spans="2:8" x14ac:dyDescent="0.2">
      <c r="B303" s="306" t="s">
        <v>495</v>
      </c>
      <c r="C303" s="306">
        <v>6188.8</v>
      </c>
      <c r="D303" s="306">
        <v>371.32799999999997</v>
      </c>
      <c r="E303" s="306">
        <v>371.32799999999997</v>
      </c>
      <c r="F303" s="306"/>
      <c r="G303" s="306">
        <f>SUM(C303:F303)</f>
        <v>6931.4560000000001</v>
      </c>
      <c r="H303" s="287"/>
    </row>
    <row r="304" spans="2:8" x14ac:dyDescent="0.2">
      <c r="B304" s="215" t="s">
        <v>255</v>
      </c>
      <c r="C304" s="251">
        <f>SUM(C300:C303)</f>
        <v>17318594.850000001</v>
      </c>
      <c r="D304" s="251">
        <f>SUM(D300:D303)</f>
        <v>1039115.691</v>
      </c>
      <c r="E304" s="251">
        <f>SUM(E300:E303)</f>
        <v>1039115.691</v>
      </c>
      <c r="F304" s="251"/>
      <c r="G304" s="251">
        <f>SUM(G300:G303)</f>
        <v>19396826.231999997</v>
      </c>
    </row>
    <row r="305" spans="2:8" x14ac:dyDescent="0.2">
      <c r="B305" s="67"/>
      <c r="C305" s="214"/>
      <c r="D305" s="214"/>
      <c r="E305" s="214"/>
      <c r="F305" s="57"/>
    </row>
    <row r="306" spans="2:8" x14ac:dyDescent="0.2">
      <c r="D306" s="80"/>
    </row>
    <row r="307" spans="2:8" x14ac:dyDescent="0.2">
      <c r="B307" s="338" t="s">
        <v>256</v>
      </c>
      <c r="C307" s="228" t="s">
        <v>77</v>
      </c>
      <c r="D307" s="229" t="s">
        <v>130</v>
      </c>
      <c r="E307" s="229" t="s">
        <v>129</v>
      </c>
      <c r="F307" s="182"/>
      <c r="G307" s="238" t="s">
        <v>76</v>
      </c>
    </row>
    <row r="308" spans="2:8" x14ac:dyDescent="0.2">
      <c r="B308" s="295"/>
      <c r="C308" s="295"/>
      <c r="D308" s="295"/>
      <c r="E308" s="295"/>
      <c r="F308" s="132"/>
      <c r="G308" s="298"/>
      <c r="H308" s="287"/>
    </row>
    <row r="309" spans="2:8" ht="15" x14ac:dyDescent="0.25">
      <c r="B309" s="280" t="s">
        <v>355</v>
      </c>
      <c r="C309" s="298">
        <v>106835</v>
      </c>
      <c r="D309" s="278">
        <v>6410.1</v>
      </c>
      <c r="E309" s="281">
        <v>6410.1</v>
      </c>
      <c r="F309" s="132"/>
      <c r="G309" s="378">
        <f t="shared" ref="G309" si="15">SUM(C309:F309)</f>
        <v>119655.20000000001</v>
      </c>
      <c r="H309" s="287"/>
    </row>
    <row r="310" spans="2:8" ht="15" x14ac:dyDescent="0.25">
      <c r="B310" s="348" t="s">
        <v>496</v>
      </c>
      <c r="C310" s="349">
        <v>37705528</v>
      </c>
      <c r="D310" s="278">
        <f>C310*0.06</f>
        <v>2262331.6799999997</v>
      </c>
      <c r="E310" s="281">
        <f>C310*0.06</f>
        <v>2262331.6799999997</v>
      </c>
      <c r="F310" s="132"/>
      <c r="G310" s="378">
        <f t="shared" ref="G310:G321" si="16">SUM(C310:F310)</f>
        <v>42230191.359999999</v>
      </c>
      <c r="H310" s="287"/>
    </row>
    <row r="311" spans="2:8" ht="15" x14ac:dyDescent="0.25">
      <c r="B311" s="348" t="s">
        <v>497</v>
      </c>
      <c r="C311" s="349">
        <v>894554</v>
      </c>
      <c r="D311" s="278">
        <f>C311*0.09</f>
        <v>80509.86</v>
      </c>
      <c r="E311" s="281">
        <f>C311*0.09</f>
        <v>80509.86</v>
      </c>
      <c r="F311" s="132"/>
      <c r="G311" s="378">
        <f t="shared" si="16"/>
        <v>1055573.72</v>
      </c>
      <c r="H311" s="287"/>
    </row>
    <row r="312" spans="2:8" ht="15" x14ac:dyDescent="0.25">
      <c r="B312" s="348" t="s">
        <v>498</v>
      </c>
      <c r="C312" s="349">
        <v>582157</v>
      </c>
      <c r="D312" s="278">
        <f t="shared" ref="D312:D315" si="17">C312*0.09</f>
        <v>52394.13</v>
      </c>
      <c r="E312" s="281">
        <f t="shared" ref="E312:E315" si="18">C312*0.09</f>
        <v>52394.13</v>
      </c>
      <c r="F312" s="132"/>
      <c r="G312" s="378">
        <f t="shared" si="16"/>
        <v>686945.26</v>
      </c>
      <c r="H312" s="287"/>
    </row>
    <row r="313" spans="2:8" ht="15" x14ac:dyDescent="0.25">
      <c r="B313" s="348" t="s">
        <v>499</v>
      </c>
      <c r="C313" s="349">
        <v>6961</v>
      </c>
      <c r="D313" s="278">
        <f t="shared" si="17"/>
        <v>626.49</v>
      </c>
      <c r="E313" s="281">
        <f t="shared" si="18"/>
        <v>626.49</v>
      </c>
      <c r="F313" s="132"/>
      <c r="G313" s="378">
        <f t="shared" si="16"/>
        <v>8213.98</v>
      </c>
      <c r="H313" s="287"/>
    </row>
    <row r="314" spans="2:8" ht="15" x14ac:dyDescent="0.25">
      <c r="B314" s="348" t="s">
        <v>500</v>
      </c>
      <c r="C314" s="349">
        <v>83415</v>
      </c>
      <c r="D314" s="278">
        <f t="shared" si="17"/>
        <v>7507.3499999999995</v>
      </c>
      <c r="E314" s="281">
        <f t="shared" si="18"/>
        <v>7507.3499999999995</v>
      </c>
      <c r="F314" s="132"/>
      <c r="G314" s="378">
        <f t="shared" si="16"/>
        <v>98429.700000000012</v>
      </c>
      <c r="H314" s="287"/>
    </row>
    <row r="315" spans="2:8" ht="15" x14ac:dyDescent="0.25">
      <c r="B315" s="348" t="s">
        <v>501</v>
      </c>
      <c r="C315" s="349">
        <v>422</v>
      </c>
      <c r="D315" s="278">
        <f t="shared" si="17"/>
        <v>37.979999999999997</v>
      </c>
      <c r="E315" s="281">
        <f t="shared" si="18"/>
        <v>37.979999999999997</v>
      </c>
      <c r="F315" s="132"/>
      <c r="G315" s="378">
        <f t="shared" si="16"/>
        <v>497.96000000000004</v>
      </c>
      <c r="H315" s="287"/>
    </row>
    <row r="316" spans="2:8" ht="15" x14ac:dyDescent="0.25">
      <c r="B316" s="167" t="s">
        <v>502</v>
      </c>
      <c r="C316" s="349">
        <v>48521440</v>
      </c>
      <c r="D316" s="278">
        <f>C316*0.06</f>
        <v>2911286.4</v>
      </c>
      <c r="E316" s="281">
        <f>C316*0.06</f>
        <v>2911286.4</v>
      </c>
      <c r="F316" s="132"/>
      <c r="G316" s="378">
        <f t="shared" si="16"/>
        <v>54344012.799999997</v>
      </c>
      <c r="H316" s="287"/>
    </row>
    <row r="317" spans="2:8" ht="15" x14ac:dyDescent="0.25">
      <c r="B317" s="167" t="s">
        <v>502</v>
      </c>
      <c r="C317" s="349">
        <v>1317796</v>
      </c>
      <c r="D317" s="278">
        <f>C317*0.09</f>
        <v>118601.64</v>
      </c>
      <c r="E317" s="281">
        <f>C317*0.09</f>
        <v>118601.64</v>
      </c>
      <c r="F317" s="132"/>
      <c r="G317" s="378">
        <f t="shared" si="16"/>
        <v>1554999.2799999998</v>
      </c>
      <c r="H317" s="287"/>
    </row>
    <row r="318" spans="2:8" ht="15" x14ac:dyDescent="0.25">
      <c r="B318" s="167" t="s">
        <v>502</v>
      </c>
      <c r="C318" s="349">
        <v>794417</v>
      </c>
      <c r="D318" s="278">
        <f t="shared" ref="D318:D321" si="19">C318*0.09</f>
        <v>71497.53</v>
      </c>
      <c r="E318" s="281">
        <f t="shared" ref="E318:E321" si="20">C318*0.09</f>
        <v>71497.53</v>
      </c>
      <c r="F318" s="132"/>
      <c r="G318" s="378">
        <f t="shared" si="16"/>
        <v>937412.06</v>
      </c>
      <c r="H318" s="287"/>
    </row>
    <row r="319" spans="2:8" ht="15" x14ac:dyDescent="0.25">
      <c r="B319" s="167" t="s">
        <v>502</v>
      </c>
      <c r="C319" s="349">
        <v>22780</v>
      </c>
      <c r="D319" s="278">
        <f t="shared" si="19"/>
        <v>2050.1999999999998</v>
      </c>
      <c r="E319" s="281">
        <f t="shared" si="20"/>
        <v>2050.1999999999998</v>
      </c>
      <c r="F319" s="132"/>
      <c r="G319" s="378">
        <f t="shared" si="16"/>
        <v>26880.400000000001</v>
      </c>
      <c r="H319" s="287"/>
    </row>
    <row r="320" spans="2:8" ht="15" x14ac:dyDescent="0.25">
      <c r="B320" s="167" t="s">
        <v>502</v>
      </c>
      <c r="C320" s="349">
        <v>107719</v>
      </c>
      <c r="D320" s="278">
        <f t="shared" si="19"/>
        <v>9694.7099999999991</v>
      </c>
      <c r="E320" s="281">
        <f t="shared" si="20"/>
        <v>9694.7099999999991</v>
      </c>
      <c r="F320" s="132"/>
      <c r="G320" s="378">
        <f t="shared" si="16"/>
        <v>127108.41999999998</v>
      </c>
      <c r="H320" s="287"/>
    </row>
    <row r="321" spans="2:8" ht="15" x14ac:dyDescent="0.25">
      <c r="B321" s="167" t="s">
        <v>502</v>
      </c>
      <c r="C321" s="349">
        <v>162</v>
      </c>
      <c r="D321" s="278">
        <f t="shared" si="19"/>
        <v>14.58</v>
      </c>
      <c r="E321" s="281">
        <f t="shared" si="20"/>
        <v>14.58</v>
      </c>
      <c r="F321" s="132"/>
      <c r="G321" s="378">
        <f t="shared" si="16"/>
        <v>191.16000000000003</v>
      </c>
      <c r="H321" s="287"/>
    </row>
    <row r="322" spans="2:8" ht="15" x14ac:dyDescent="0.25">
      <c r="B322" s="167"/>
      <c r="C322" s="298"/>
      <c r="D322" s="278"/>
      <c r="E322" s="281"/>
      <c r="F322" s="132"/>
      <c r="G322" s="378"/>
      <c r="H322" s="287"/>
    </row>
    <row r="323" spans="2:8" x14ac:dyDescent="0.2">
      <c r="B323" s="215" t="s">
        <v>257</v>
      </c>
      <c r="C323" s="120">
        <f>SUM(C308:C322)</f>
        <v>90144186</v>
      </c>
      <c r="D323" s="120">
        <f>SUM(D308:D322)</f>
        <v>5522962.6500000004</v>
      </c>
      <c r="E323" s="120">
        <f>SUM(E308:E322)</f>
        <v>5522962.6500000004</v>
      </c>
      <c r="F323" s="120"/>
      <c r="G323" s="120">
        <f>SUM(G308:G322)</f>
        <v>101190111.3</v>
      </c>
    </row>
    <row r="324" spans="2:8" x14ac:dyDescent="0.2">
      <c r="B324" s="221"/>
      <c r="C324" s="97"/>
      <c r="D324" s="97"/>
      <c r="E324" s="97"/>
      <c r="F324" s="57"/>
    </row>
    <row r="325" spans="2:8" x14ac:dyDescent="0.2">
      <c r="F325" s="109"/>
    </row>
    <row r="326" spans="2:8" x14ac:dyDescent="0.2">
      <c r="B326" s="340" t="s">
        <v>258</v>
      </c>
      <c r="C326" s="228" t="s">
        <v>77</v>
      </c>
      <c r="D326" s="182" t="s">
        <v>130</v>
      </c>
      <c r="E326" s="182" t="s">
        <v>129</v>
      </c>
      <c r="F326" s="182"/>
      <c r="G326" s="237" t="s">
        <v>76</v>
      </c>
    </row>
    <row r="327" spans="2:8" ht="15" x14ac:dyDescent="0.25">
      <c r="B327" s="145"/>
      <c r="C327" s="356"/>
      <c r="D327" s="378"/>
      <c r="E327" s="378"/>
      <c r="F327" s="132"/>
      <c r="G327" s="378"/>
      <c r="H327" s="287"/>
    </row>
    <row r="328" spans="2:8" ht="15" x14ac:dyDescent="0.25">
      <c r="B328" s="145" t="s">
        <v>416</v>
      </c>
      <c r="C328" s="393">
        <v>45237193.020000003</v>
      </c>
      <c r="D328" s="378">
        <v>2714231.5811999999</v>
      </c>
      <c r="E328" s="378">
        <v>2714231.5811999999</v>
      </c>
      <c r="F328" s="132"/>
      <c r="G328" s="378">
        <f t="shared" ref="G328:G332" si="21">SUM(C328:F328)</f>
        <v>50665656.182400003</v>
      </c>
      <c r="H328" s="287"/>
    </row>
    <row r="329" spans="2:8" ht="15" x14ac:dyDescent="0.25">
      <c r="B329" s="145" t="s">
        <v>503</v>
      </c>
      <c r="C329" s="393">
        <v>493421.6</v>
      </c>
      <c r="D329" s="378">
        <v>44407.944000000003</v>
      </c>
      <c r="E329" s="378">
        <v>44407.944000000003</v>
      </c>
      <c r="F329" s="132"/>
      <c r="G329" s="378">
        <f t="shared" si="21"/>
        <v>582237.48800000001</v>
      </c>
      <c r="H329" s="287"/>
    </row>
    <row r="330" spans="2:8" ht="15" x14ac:dyDescent="0.25">
      <c r="B330" s="145" t="s">
        <v>504</v>
      </c>
      <c r="C330" s="393">
        <v>45339984.07</v>
      </c>
      <c r="D330" s="378">
        <v>2720399.0441999999</v>
      </c>
      <c r="E330" s="378">
        <v>2720399.0441999999</v>
      </c>
      <c r="F330" s="132"/>
      <c r="G330" s="378">
        <f t="shared" si="21"/>
        <v>50780782.158400007</v>
      </c>
      <c r="H330" s="287"/>
    </row>
    <row r="331" spans="2:8" ht="15" x14ac:dyDescent="0.25">
      <c r="B331" s="145" t="s">
        <v>505</v>
      </c>
      <c r="C331" s="393">
        <v>803468.22</v>
      </c>
      <c r="D331" s="378">
        <v>72312.139800000004</v>
      </c>
      <c r="E331" s="378">
        <v>72312.139800000004</v>
      </c>
      <c r="F331" s="132"/>
      <c r="G331" s="378">
        <f t="shared" si="21"/>
        <v>948092.49959999998</v>
      </c>
      <c r="H331" s="287"/>
    </row>
    <row r="332" spans="2:8" ht="15" x14ac:dyDescent="0.25">
      <c r="B332" s="145" t="s">
        <v>506</v>
      </c>
      <c r="C332" s="393">
        <v>1709714.7</v>
      </c>
      <c r="D332" s="378">
        <v>153874.323</v>
      </c>
      <c r="E332" s="378">
        <v>153874.323</v>
      </c>
      <c r="F332" s="132"/>
      <c r="G332" s="378">
        <f t="shared" si="21"/>
        <v>2017463.3460000001</v>
      </c>
      <c r="H332" s="287"/>
    </row>
    <row r="333" spans="2:8" x14ac:dyDescent="0.2">
      <c r="B333" s="215" t="s">
        <v>259</v>
      </c>
      <c r="C333" s="120">
        <f>SUM(C327:C332)</f>
        <v>93583781.609999999</v>
      </c>
      <c r="D333" s="120">
        <f>SUM(D327:D332)</f>
        <v>5705225.0321999993</v>
      </c>
      <c r="E333" s="120">
        <f>SUM(E327:E332)</f>
        <v>5705225.0321999993</v>
      </c>
      <c r="F333" s="120"/>
      <c r="G333" s="120">
        <f>SUM(G327:G332)</f>
        <v>104994231.6744</v>
      </c>
    </row>
    <row r="334" spans="2:8" x14ac:dyDescent="0.2">
      <c r="B334" s="67"/>
      <c r="C334" s="97"/>
      <c r="D334" s="97"/>
      <c r="E334" s="97"/>
      <c r="F334" s="57"/>
    </row>
    <row r="335" spans="2:8" x14ac:dyDescent="0.2">
      <c r="F335" s="82"/>
    </row>
    <row r="336" spans="2:8" x14ac:dyDescent="0.2">
      <c r="B336" s="340" t="s">
        <v>260</v>
      </c>
      <c r="C336" s="228" t="s">
        <v>77</v>
      </c>
      <c r="D336" s="182" t="s">
        <v>130</v>
      </c>
      <c r="E336" s="182" t="s">
        <v>129</v>
      </c>
      <c r="F336" s="182"/>
      <c r="G336" s="237" t="s">
        <v>76</v>
      </c>
    </row>
    <row r="337" spans="2:8" x14ac:dyDescent="0.2">
      <c r="B337" s="295"/>
      <c r="C337" s="295"/>
      <c r="D337" s="384"/>
      <c r="E337" s="378"/>
      <c r="F337" s="132"/>
      <c r="G337" s="378">
        <f t="shared" ref="G337" si="22">SUM(C337:F337)</f>
        <v>0</v>
      </c>
      <c r="H337" s="287"/>
    </row>
    <row r="338" spans="2:8" x14ac:dyDescent="0.2">
      <c r="B338" s="306"/>
      <c r="C338" s="296"/>
      <c r="D338" s="384"/>
      <c r="E338" s="378"/>
      <c r="F338" s="378"/>
      <c r="G338" s="392"/>
      <c r="H338" s="287"/>
    </row>
    <row r="339" spans="2:8" x14ac:dyDescent="0.2">
      <c r="B339" s="306">
        <v>43986</v>
      </c>
      <c r="C339" s="296">
        <v>7423.57</v>
      </c>
      <c r="D339" s="384">
        <v>668.12130000000002</v>
      </c>
      <c r="E339" s="378">
        <v>668.12130000000002</v>
      </c>
      <c r="F339" s="378"/>
      <c r="G339" s="392">
        <f t="shared" ref="G339:G346" si="23">SUM(C339:F339)</f>
        <v>8759.8125999999993</v>
      </c>
      <c r="H339" s="287"/>
    </row>
    <row r="340" spans="2:8" x14ac:dyDescent="0.2">
      <c r="B340" s="306">
        <v>44002</v>
      </c>
      <c r="C340" s="296">
        <v>31273.45</v>
      </c>
      <c r="D340" s="384">
        <v>2814.6104999999998</v>
      </c>
      <c r="E340" s="378">
        <v>2814.6104999999998</v>
      </c>
      <c r="F340" s="378"/>
      <c r="G340" s="392">
        <f t="shared" si="23"/>
        <v>36902.671000000002</v>
      </c>
      <c r="H340" s="287"/>
    </row>
    <row r="341" spans="2:8" x14ac:dyDescent="0.2">
      <c r="B341" s="306" t="s">
        <v>353</v>
      </c>
      <c r="C341" s="296">
        <v>26996.49</v>
      </c>
      <c r="D341" s="384">
        <v>2429.6840999999999</v>
      </c>
      <c r="E341" s="378">
        <v>2429.6840999999999</v>
      </c>
      <c r="F341" s="378"/>
      <c r="G341" s="392">
        <f t="shared" si="23"/>
        <v>31855.858199999999</v>
      </c>
      <c r="H341" s="287"/>
    </row>
    <row r="342" spans="2:8" x14ac:dyDescent="0.2">
      <c r="B342" s="306" t="s">
        <v>354</v>
      </c>
      <c r="C342" s="296">
        <v>30302.18</v>
      </c>
      <c r="D342" s="384">
        <v>2727.1961999999999</v>
      </c>
      <c r="E342" s="378">
        <v>2727.1961999999999</v>
      </c>
      <c r="F342" s="378"/>
      <c r="G342" s="392">
        <f t="shared" si="23"/>
        <v>35756.572399999997</v>
      </c>
      <c r="H342" s="287"/>
    </row>
    <row r="343" spans="2:8" x14ac:dyDescent="0.2">
      <c r="B343" s="306" t="s">
        <v>361</v>
      </c>
      <c r="C343" s="296">
        <v>25382</v>
      </c>
      <c r="D343" s="384">
        <v>2284.38</v>
      </c>
      <c r="E343" s="378">
        <v>2284.38</v>
      </c>
      <c r="F343" s="378"/>
      <c r="G343" s="392">
        <f t="shared" si="23"/>
        <v>29950.760000000002</v>
      </c>
      <c r="H343" s="287"/>
    </row>
    <row r="344" spans="2:8" x14ac:dyDescent="0.2">
      <c r="B344" s="306" t="s">
        <v>369</v>
      </c>
      <c r="C344" s="296">
        <v>34096.71</v>
      </c>
      <c r="D344" s="384">
        <v>3068.7039</v>
      </c>
      <c r="E344" s="378">
        <v>3068.7039</v>
      </c>
      <c r="F344" s="378"/>
      <c r="G344" s="392">
        <f t="shared" si="23"/>
        <v>40234.1178</v>
      </c>
      <c r="H344" s="287"/>
    </row>
    <row r="345" spans="2:8" x14ac:dyDescent="0.2">
      <c r="B345" s="306" t="s">
        <v>370</v>
      </c>
      <c r="C345" s="296">
        <v>1612.95</v>
      </c>
      <c r="D345" s="384">
        <v>145.16550000000001</v>
      </c>
      <c r="E345" s="378">
        <v>145.16550000000001</v>
      </c>
      <c r="F345" s="378"/>
      <c r="G345" s="392">
        <f t="shared" si="23"/>
        <v>1903.2810000000002</v>
      </c>
      <c r="H345" s="287"/>
    </row>
    <row r="346" spans="2:8" x14ac:dyDescent="0.2">
      <c r="B346" s="306" t="s">
        <v>371</v>
      </c>
      <c r="C346" s="296">
        <v>94.2</v>
      </c>
      <c r="D346" s="384">
        <v>8.4779999999999998</v>
      </c>
      <c r="E346" s="378">
        <v>8.4779999999999998</v>
      </c>
      <c r="F346" s="378"/>
      <c r="G346" s="392">
        <f t="shared" si="23"/>
        <v>111.15599999999999</v>
      </c>
      <c r="H346" s="287"/>
    </row>
    <row r="347" spans="2:8" x14ac:dyDescent="0.2">
      <c r="B347" s="306" t="s">
        <v>383</v>
      </c>
      <c r="C347" s="296">
        <v>32101.27</v>
      </c>
      <c r="D347" s="384">
        <v>2889.1143000000002</v>
      </c>
      <c r="E347" s="378">
        <v>2889.1143000000002</v>
      </c>
      <c r="F347" s="378"/>
      <c r="G347" s="392">
        <f>SUM(C347:F347)</f>
        <v>37879.498599999999</v>
      </c>
      <c r="H347" s="287"/>
    </row>
    <row r="348" spans="2:8" x14ac:dyDescent="0.2">
      <c r="B348" s="306" t="s">
        <v>384</v>
      </c>
      <c r="C348" s="296">
        <v>12840.85</v>
      </c>
      <c r="D348" s="384">
        <v>1155.6765</v>
      </c>
      <c r="E348" s="378">
        <v>1155.6765</v>
      </c>
      <c r="F348" s="378"/>
      <c r="G348" s="392">
        <f>SUM(C348:F348)</f>
        <v>15152.203</v>
      </c>
      <c r="H348" s="287"/>
    </row>
    <row r="349" spans="2:8" x14ac:dyDescent="0.2">
      <c r="B349" s="306" t="s">
        <v>507</v>
      </c>
      <c r="C349" s="296">
        <v>20759022</v>
      </c>
      <c r="D349" s="384">
        <v>1245541.32</v>
      </c>
      <c r="E349" s="378">
        <v>1245541.32</v>
      </c>
      <c r="F349" s="378"/>
      <c r="G349" s="392">
        <f>SUM(C349:F349)</f>
        <v>23250104.640000001</v>
      </c>
      <c r="H349" s="287"/>
    </row>
    <row r="350" spans="2:8" x14ac:dyDescent="0.2">
      <c r="B350" s="215" t="s">
        <v>261</v>
      </c>
      <c r="C350" s="131">
        <f>SUM(C337:C349)</f>
        <v>20961145.670000002</v>
      </c>
      <c r="D350" s="131">
        <f>SUM(D337:D349)</f>
        <v>1263732.4503000001</v>
      </c>
      <c r="E350" s="131">
        <f>SUM(E337:E349)</f>
        <v>1263732.4503000001</v>
      </c>
      <c r="F350" s="131"/>
      <c r="G350" s="131">
        <f>SUM(G337:G349)</f>
        <v>23488610.570599999</v>
      </c>
    </row>
    <row r="351" spans="2:8" x14ac:dyDescent="0.2">
      <c r="B351" s="67"/>
      <c r="C351" s="67"/>
      <c r="D351" s="67"/>
      <c r="E351" s="67"/>
      <c r="F351" s="57"/>
    </row>
    <row r="352" spans="2:8" x14ac:dyDescent="0.2">
      <c r="B352" s="67"/>
      <c r="C352" s="67"/>
    </row>
    <row r="353" spans="1:8" x14ac:dyDescent="0.2">
      <c r="B353" s="338" t="s">
        <v>262</v>
      </c>
      <c r="C353" s="228" t="s">
        <v>77</v>
      </c>
      <c r="D353" s="182" t="s">
        <v>130</v>
      </c>
      <c r="E353" s="182" t="s">
        <v>129</v>
      </c>
      <c r="F353" s="182"/>
      <c r="G353" s="223" t="s">
        <v>76</v>
      </c>
    </row>
    <row r="354" spans="1:8" x14ac:dyDescent="0.2">
      <c r="B354" s="306"/>
      <c r="C354" s="295"/>
      <c r="D354" s="392"/>
      <c r="E354" s="392"/>
      <c r="F354" s="132"/>
      <c r="G354" s="136"/>
      <c r="H354" s="287"/>
    </row>
    <row r="355" spans="1:8" x14ac:dyDescent="0.2">
      <c r="B355" s="306" t="s">
        <v>479</v>
      </c>
      <c r="C355" s="295">
        <v>666873.65</v>
      </c>
      <c r="D355" s="392">
        <v>40012.419000000002</v>
      </c>
      <c r="E355" s="392">
        <v>40012.419000000002</v>
      </c>
      <c r="F355" s="132"/>
      <c r="G355" s="136">
        <f>SUM(C355:F355)</f>
        <v>746898.48800000001</v>
      </c>
      <c r="H355" s="287"/>
    </row>
    <row r="356" spans="1:8" x14ac:dyDescent="0.2">
      <c r="B356" s="306" t="s">
        <v>480</v>
      </c>
      <c r="C356" s="295">
        <v>2918.93</v>
      </c>
      <c r="D356" s="392">
        <v>175.13579999999999</v>
      </c>
      <c r="E356" s="392">
        <v>175.13579999999999</v>
      </c>
      <c r="F356" s="132"/>
      <c r="G356" s="136">
        <f>SUM(C356:F356)</f>
        <v>3269.2015999999999</v>
      </c>
      <c r="H356" s="287"/>
    </row>
    <row r="357" spans="1:8" x14ac:dyDescent="0.2">
      <c r="B357" s="306" t="s">
        <v>481</v>
      </c>
      <c r="C357" s="295">
        <v>6115154.8799999999</v>
      </c>
      <c r="D357" s="392">
        <v>366909.2928</v>
      </c>
      <c r="E357" s="392">
        <v>366909.2928</v>
      </c>
      <c r="F357" s="132"/>
      <c r="G357" s="136">
        <f>SUM(C357:F357)</f>
        <v>6848973.4655999998</v>
      </c>
      <c r="H357" s="287"/>
    </row>
    <row r="358" spans="1:8" x14ac:dyDescent="0.2">
      <c r="B358" s="306" t="s">
        <v>482</v>
      </c>
      <c r="C358" s="295">
        <v>2057.4</v>
      </c>
      <c r="D358" s="392">
        <v>123.444</v>
      </c>
      <c r="E358" s="392">
        <v>123.444</v>
      </c>
      <c r="F358" s="132"/>
      <c r="G358" s="136">
        <f>SUM(C358:F358)</f>
        <v>2304.288</v>
      </c>
      <c r="H358" s="287"/>
    </row>
    <row r="359" spans="1:8" x14ac:dyDescent="0.2">
      <c r="B359" s="215" t="s">
        <v>263</v>
      </c>
      <c r="C359" s="131">
        <f>SUM(C354:C358)</f>
        <v>6787004.8600000003</v>
      </c>
      <c r="D359" s="131">
        <f>SUM(D354:D358)</f>
        <v>407220.2916</v>
      </c>
      <c r="E359" s="131">
        <f>SUM(E354:E358)</f>
        <v>407220.2916</v>
      </c>
      <c r="F359" s="131"/>
      <c r="G359" s="131">
        <f>SUM(G354:G358)</f>
        <v>7601445.4431999996</v>
      </c>
    </row>
    <row r="360" spans="1:8" x14ac:dyDescent="0.2">
      <c r="B360" s="67"/>
      <c r="C360" s="67"/>
      <c r="D360" s="67"/>
      <c r="E360" s="67"/>
      <c r="F360" s="67"/>
    </row>
    <row r="361" spans="1:8" x14ac:dyDescent="0.2">
      <c r="B361" s="67"/>
      <c r="C361" s="67"/>
      <c r="D361" s="67"/>
      <c r="E361" s="67"/>
      <c r="F361" s="67"/>
    </row>
    <row r="362" spans="1:8" x14ac:dyDescent="0.2">
      <c r="A362" s="53" t="s">
        <v>360</v>
      </c>
      <c r="B362" s="338" t="s">
        <v>264</v>
      </c>
      <c r="C362" s="228" t="s">
        <v>77</v>
      </c>
      <c r="D362" s="182" t="s">
        <v>130</v>
      </c>
      <c r="E362" s="182" t="s">
        <v>129</v>
      </c>
      <c r="F362" s="182"/>
      <c r="G362" s="237" t="s">
        <v>76</v>
      </c>
    </row>
    <row r="363" spans="1:8" x14ac:dyDescent="0.2">
      <c r="B363" s="282"/>
      <c r="C363" s="394"/>
      <c r="D363" s="378"/>
      <c r="E363" s="378"/>
      <c r="F363" s="132"/>
      <c r="G363" s="378"/>
      <c r="H363" s="287"/>
    </row>
    <row r="364" spans="1:8" x14ac:dyDescent="0.2">
      <c r="B364" s="282" t="s">
        <v>508</v>
      </c>
      <c r="C364" s="394">
        <v>34906485.079999998</v>
      </c>
      <c r="D364" s="378">
        <v>2094389.1048000001</v>
      </c>
      <c r="E364" s="378">
        <v>2094389.1048000001</v>
      </c>
      <c r="F364" s="132"/>
      <c r="G364" s="378">
        <f t="shared" ref="G364:G367" si="24">SUM(C364:F364)</f>
        <v>39095263.2896</v>
      </c>
      <c r="H364" s="287"/>
    </row>
    <row r="365" spans="1:8" x14ac:dyDescent="0.2">
      <c r="B365" s="282" t="s">
        <v>509</v>
      </c>
      <c r="C365" s="394">
        <v>385045</v>
      </c>
      <c r="D365" s="378">
        <v>34654.050000000003</v>
      </c>
      <c r="E365" s="378">
        <v>34654.050000000003</v>
      </c>
      <c r="F365" s="132"/>
      <c r="G365" s="378">
        <f t="shared" si="24"/>
        <v>454353.1</v>
      </c>
      <c r="H365" s="287"/>
    </row>
    <row r="366" spans="1:8" x14ac:dyDescent="0.2">
      <c r="B366" s="282" t="s">
        <v>510</v>
      </c>
      <c r="C366" s="394">
        <v>7262.8</v>
      </c>
      <c r="D366" s="378">
        <v>653.65200000000004</v>
      </c>
      <c r="E366" s="378">
        <v>653.65200000000004</v>
      </c>
      <c r="F366" s="132"/>
      <c r="G366" s="378">
        <f t="shared" si="24"/>
        <v>8570.1039999999994</v>
      </c>
      <c r="H366" s="287"/>
    </row>
    <row r="367" spans="1:8" x14ac:dyDescent="0.2">
      <c r="B367" s="282" t="s">
        <v>511</v>
      </c>
      <c r="C367" s="394">
        <v>45396</v>
      </c>
      <c r="D367" s="378">
        <v>2723.76</v>
      </c>
      <c r="E367" s="378">
        <v>2723.76</v>
      </c>
      <c r="F367" s="132"/>
      <c r="G367" s="378">
        <f t="shared" si="24"/>
        <v>50843.520000000004</v>
      </c>
      <c r="H367" s="287"/>
    </row>
    <row r="368" spans="1:8" x14ac:dyDescent="0.2">
      <c r="B368" s="215" t="s">
        <v>265</v>
      </c>
      <c r="C368" s="251">
        <f>SUM(C363:C367)</f>
        <v>35344188.879999995</v>
      </c>
      <c r="D368" s="251">
        <f>SUM(D363:D367)</f>
        <v>2132420.5667999997</v>
      </c>
      <c r="E368" s="251">
        <f>SUM(E363:E367)</f>
        <v>2132420.5667999997</v>
      </c>
      <c r="F368" s="251"/>
      <c r="G368" s="251">
        <f>SUM(G363:G367)</f>
        <v>39609030.013600007</v>
      </c>
    </row>
    <row r="369" spans="2:8" x14ac:dyDescent="0.2">
      <c r="B369" s="67"/>
      <c r="C369" s="214"/>
      <c r="D369" s="214"/>
      <c r="E369" s="214"/>
      <c r="F369" s="214"/>
    </row>
    <row r="370" spans="2:8" x14ac:dyDescent="0.2">
      <c r="D370" s="80"/>
    </row>
    <row r="371" spans="2:8" x14ac:dyDescent="0.2">
      <c r="B371" s="228" t="s">
        <v>266</v>
      </c>
      <c r="C371" s="228" t="s">
        <v>77</v>
      </c>
      <c r="D371" s="182" t="s">
        <v>130</v>
      </c>
      <c r="E371" s="182" t="s">
        <v>129</v>
      </c>
      <c r="F371" s="182"/>
      <c r="G371" s="211" t="s">
        <v>76</v>
      </c>
    </row>
    <row r="372" spans="2:8" x14ac:dyDescent="0.2">
      <c r="B372" s="150" t="s">
        <v>162</v>
      </c>
      <c r="C372" s="262">
        <v>262305.8</v>
      </c>
      <c r="D372" s="378">
        <f>C372*9%</f>
        <v>23607.521999999997</v>
      </c>
      <c r="E372" s="378">
        <f>C372*9%</f>
        <v>23607.521999999997</v>
      </c>
      <c r="F372" s="132"/>
      <c r="G372" s="392">
        <f>SUM(C372:E372)</f>
        <v>309520.84399999998</v>
      </c>
      <c r="H372" s="287"/>
    </row>
    <row r="373" spans="2:8" x14ac:dyDescent="0.2">
      <c r="B373" s="150" t="s">
        <v>178</v>
      </c>
      <c r="C373" s="262">
        <v>373316.56</v>
      </c>
      <c r="D373" s="378">
        <f>C373*9%</f>
        <v>33598.490399999995</v>
      </c>
      <c r="E373" s="378">
        <f>C373*9%</f>
        <v>33598.490399999995</v>
      </c>
      <c r="F373" s="132"/>
      <c r="G373" s="392">
        <f>SUM(C373:E373)</f>
        <v>440513.54080000002</v>
      </c>
      <c r="H373" s="287"/>
    </row>
    <row r="374" spans="2:8" x14ac:dyDescent="0.2">
      <c r="B374" s="215" t="s">
        <v>267</v>
      </c>
      <c r="C374" s="120">
        <f>SUM(C372:C373)</f>
        <v>635622.36</v>
      </c>
      <c r="D374" s="120">
        <f>SUM(D372:D373)</f>
        <v>57206.012399999992</v>
      </c>
      <c r="E374" s="120">
        <f>SUM(E372:E373)</f>
        <v>57206.012399999992</v>
      </c>
      <c r="F374" s="120"/>
      <c r="G374" s="120">
        <f>SUM(G372:G373)</f>
        <v>750034.3848</v>
      </c>
    </row>
    <row r="375" spans="2:8" x14ac:dyDescent="0.2">
      <c r="B375" s="67"/>
      <c r="C375" s="97"/>
      <c r="D375" s="97"/>
      <c r="E375" s="97"/>
      <c r="F375" s="97"/>
    </row>
    <row r="377" spans="2:8" x14ac:dyDescent="0.2">
      <c r="B377" s="338" t="s">
        <v>268</v>
      </c>
      <c r="C377" s="228" t="s">
        <v>77</v>
      </c>
      <c r="D377" s="182" t="s">
        <v>130</v>
      </c>
      <c r="E377" s="182" t="s">
        <v>129</v>
      </c>
      <c r="F377" s="182"/>
      <c r="G377" s="237" t="s">
        <v>76</v>
      </c>
    </row>
    <row r="378" spans="2:8" x14ac:dyDescent="0.2">
      <c r="B378" s="132"/>
      <c r="C378" s="260"/>
      <c r="D378" s="378"/>
      <c r="E378" s="378"/>
      <c r="F378" s="136"/>
      <c r="G378" s="378"/>
      <c r="H378" s="287"/>
    </row>
    <row r="379" spans="2:8" x14ac:dyDescent="0.2">
      <c r="B379" s="132" t="s">
        <v>417</v>
      </c>
      <c r="C379" s="261">
        <v>16720516.800000001</v>
      </c>
      <c r="D379" s="378">
        <v>1003231.008</v>
      </c>
      <c r="E379" s="378">
        <v>1003231.008</v>
      </c>
      <c r="F379" s="136"/>
      <c r="G379" s="378">
        <f t="shared" ref="G379:G381" si="25">SUM(C379:F379)</f>
        <v>18726978.816000003</v>
      </c>
      <c r="H379" s="287"/>
    </row>
    <row r="380" spans="2:8" x14ac:dyDescent="0.2">
      <c r="B380" s="132" t="s">
        <v>418</v>
      </c>
      <c r="C380" s="261">
        <v>244696.4</v>
      </c>
      <c r="D380" s="378">
        <v>14681.784</v>
      </c>
      <c r="E380" s="378">
        <v>14681.784</v>
      </c>
      <c r="F380" s="136"/>
      <c r="G380" s="378">
        <f t="shared" si="25"/>
        <v>274059.96799999999</v>
      </c>
      <c r="H380" s="287"/>
    </row>
    <row r="381" spans="2:8" x14ac:dyDescent="0.2">
      <c r="B381" s="132" t="s">
        <v>419</v>
      </c>
      <c r="C381" s="261">
        <v>9761.6</v>
      </c>
      <c r="D381" s="378">
        <v>585.69600000000003</v>
      </c>
      <c r="E381" s="378">
        <v>585.69600000000003</v>
      </c>
      <c r="F381" s="136"/>
      <c r="G381" s="378">
        <f t="shared" si="25"/>
        <v>10932.992</v>
      </c>
      <c r="H381" s="287"/>
    </row>
    <row r="382" spans="2:8" x14ac:dyDescent="0.2">
      <c r="B382" s="132" t="s">
        <v>512</v>
      </c>
      <c r="C382" s="261">
        <v>18919923.359999999</v>
      </c>
      <c r="D382" s="378">
        <v>1135195.4016</v>
      </c>
      <c r="E382" s="378">
        <v>1135195.4016</v>
      </c>
      <c r="F382" s="136"/>
      <c r="G382" s="378">
        <f>SUM(C382:F382)</f>
        <v>21190314.163199998</v>
      </c>
      <c r="H382" s="287"/>
    </row>
    <row r="383" spans="2:8" x14ac:dyDescent="0.2">
      <c r="B383" s="132" t="s">
        <v>513</v>
      </c>
      <c r="C383" s="261">
        <v>284669.09999999998</v>
      </c>
      <c r="D383" s="378">
        <v>17080.146000000001</v>
      </c>
      <c r="E383" s="378">
        <v>17080.146000000001</v>
      </c>
      <c r="F383" s="136"/>
      <c r="G383" s="378">
        <f>SUM(C383:F383)</f>
        <v>318829.39199999999</v>
      </c>
      <c r="H383" s="287"/>
    </row>
    <row r="384" spans="2:8" x14ac:dyDescent="0.2">
      <c r="B384" s="132" t="s">
        <v>514</v>
      </c>
      <c r="C384" s="261">
        <v>9986.7999999999993</v>
      </c>
      <c r="D384" s="378">
        <v>599.20799999999997</v>
      </c>
      <c r="E384" s="378">
        <v>599.20799999999997</v>
      </c>
      <c r="F384" s="136"/>
      <c r="G384" s="378">
        <f>SUM(C384:F384)</f>
        <v>11185.216</v>
      </c>
      <c r="H384" s="287"/>
    </row>
    <row r="385" spans="1:8" x14ac:dyDescent="0.2">
      <c r="B385" s="215" t="s">
        <v>269</v>
      </c>
      <c r="C385" s="131">
        <f>SUM(C378:C384)</f>
        <v>36189554.059999995</v>
      </c>
      <c r="D385" s="131">
        <f>SUM(D378:D384)</f>
        <v>2171373.2436000002</v>
      </c>
      <c r="E385" s="131">
        <f>SUM(E378:E384)</f>
        <v>2171373.2436000002</v>
      </c>
      <c r="F385" s="131"/>
      <c r="G385" s="131">
        <f>SUM(G378:G384)</f>
        <v>40532300.547199994</v>
      </c>
    </row>
    <row r="386" spans="1:8" x14ac:dyDescent="0.2">
      <c r="B386" s="67"/>
      <c r="C386" s="67"/>
      <c r="D386" s="67"/>
      <c r="E386" s="67"/>
      <c r="F386" s="67"/>
    </row>
    <row r="388" spans="1:8" x14ac:dyDescent="0.2">
      <c r="A388" s="53" t="s">
        <v>360</v>
      </c>
      <c r="B388" s="338" t="s">
        <v>270</v>
      </c>
      <c r="C388" s="228" t="s">
        <v>77</v>
      </c>
      <c r="D388" s="229" t="s">
        <v>130</v>
      </c>
      <c r="E388" s="229" t="s">
        <v>129</v>
      </c>
      <c r="F388" s="229"/>
      <c r="G388" s="215" t="s">
        <v>76</v>
      </c>
    </row>
    <row r="389" spans="1:8" x14ac:dyDescent="0.2">
      <c r="B389" s="160"/>
      <c r="C389" s="303"/>
      <c r="D389" s="378"/>
      <c r="E389" s="378"/>
      <c r="F389" s="132"/>
      <c r="G389" s="378"/>
      <c r="H389" s="287"/>
    </row>
    <row r="390" spans="1:8" x14ac:dyDescent="0.2">
      <c r="B390" s="160" t="s">
        <v>477</v>
      </c>
      <c r="C390" s="303">
        <f>3696473.125-H390</f>
        <v>3071014.2250000001</v>
      </c>
      <c r="D390" s="378">
        <v>221788.38750000001</v>
      </c>
      <c r="E390" s="378">
        <v>221788.38750000001</v>
      </c>
      <c r="F390" s="132"/>
      <c r="G390" s="378">
        <f>SUM(C390:F390)</f>
        <v>3514591.0000000005</v>
      </c>
      <c r="H390" s="287">
        <v>625458.9</v>
      </c>
    </row>
    <row r="391" spans="1:8" x14ac:dyDescent="0.2">
      <c r="B391" s="215" t="s">
        <v>271</v>
      </c>
      <c r="C391" s="131">
        <f>SUM(C389:C390)</f>
        <v>3071014.2250000001</v>
      </c>
      <c r="D391" s="131">
        <f>SUM(D389:D390)</f>
        <v>221788.38750000001</v>
      </c>
      <c r="E391" s="131">
        <f>SUM(E389:E390)</f>
        <v>221788.38750000001</v>
      </c>
      <c r="F391" s="131"/>
      <c r="G391" s="131">
        <f>SUM(G389:G390)</f>
        <v>3514591.0000000005</v>
      </c>
    </row>
    <row r="392" spans="1:8" x14ac:dyDescent="0.2">
      <c r="B392" s="67"/>
      <c r="C392" s="67"/>
      <c r="D392" s="67"/>
      <c r="E392" s="67"/>
      <c r="F392" s="67"/>
    </row>
    <row r="393" spans="1:8" x14ac:dyDescent="0.2">
      <c r="E393" s="96"/>
    </row>
    <row r="394" spans="1:8" ht="15" x14ac:dyDescent="0.25">
      <c r="B394" s="338" t="s">
        <v>272</v>
      </c>
      <c r="C394" s="228" t="s">
        <v>77</v>
      </c>
      <c r="D394" s="229" t="s">
        <v>130</v>
      </c>
      <c r="E394" s="229" t="s">
        <v>129</v>
      </c>
      <c r="F394" s="239"/>
      <c r="G394" s="237" t="s">
        <v>76</v>
      </c>
    </row>
    <row r="395" spans="1:8" ht="15" x14ac:dyDescent="0.25">
      <c r="B395" s="306" t="s">
        <v>346</v>
      </c>
      <c r="C395" s="378">
        <v>28294.796610169495</v>
      </c>
      <c r="D395" s="378">
        <f>C395*9%</f>
        <v>2546.5316949152543</v>
      </c>
      <c r="E395" s="378">
        <f>C395*9%</f>
        <v>2546.5316949152543</v>
      </c>
      <c r="F395" s="279"/>
      <c r="G395" s="378">
        <f>SUM(C395:E395)</f>
        <v>33387.86</v>
      </c>
      <c r="H395" s="287"/>
    </row>
    <row r="396" spans="1:8" x14ac:dyDescent="0.2">
      <c r="B396" s="329" t="s">
        <v>164</v>
      </c>
      <c r="C396" s="378">
        <v>8929.9910714285725</v>
      </c>
      <c r="D396" s="378">
        <f>C396*6%</f>
        <v>535.79946428571429</v>
      </c>
      <c r="E396" s="378">
        <f>C396*6%</f>
        <v>535.79946428571429</v>
      </c>
      <c r="F396" s="378"/>
      <c r="G396" s="378">
        <f>SUM(C396:E396)</f>
        <v>10001.59</v>
      </c>
      <c r="H396" s="287"/>
    </row>
    <row r="397" spans="1:8" x14ac:dyDescent="0.2">
      <c r="B397" s="329" t="s">
        <v>491</v>
      </c>
      <c r="C397" s="378">
        <v>60729662.200000003</v>
      </c>
      <c r="D397" s="378">
        <v>3643779.7319999998</v>
      </c>
      <c r="E397" s="378">
        <v>3643779.7319999998</v>
      </c>
      <c r="F397" s="378"/>
      <c r="G397" s="378">
        <f>SUM(C397:F397)</f>
        <v>68017221.664000005</v>
      </c>
      <c r="H397" s="287"/>
    </row>
    <row r="398" spans="1:8" x14ac:dyDescent="0.2">
      <c r="B398" s="240" t="s">
        <v>273</v>
      </c>
      <c r="C398" s="120">
        <f>SUM(C395:C397)</f>
        <v>60766886.987681597</v>
      </c>
      <c r="D398" s="120">
        <f>SUM(D395:D397)</f>
        <v>3646862.0631592008</v>
      </c>
      <c r="E398" s="120">
        <f>SUM(E395:E397)</f>
        <v>3646862.0631592008</v>
      </c>
      <c r="F398" s="120"/>
      <c r="G398" s="363">
        <f>SUM(G395:G397)</f>
        <v>68060611.114000008</v>
      </c>
    </row>
    <row r="399" spans="1:8" x14ac:dyDescent="0.2">
      <c r="B399" s="241"/>
      <c r="C399" s="97"/>
      <c r="D399" s="97"/>
      <c r="E399" s="97"/>
      <c r="F399" s="97"/>
    </row>
    <row r="400" spans="1:8" ht="15" x14ac:dyDescent="0.25">
      <c r="B400" s="32"/>
      <c r="C400" s="36"/>
      <c r="D400" s="83"/>
      <c r="E400" s="57"/>
      <c r="F400" s="79"/>
    </row>
    <row r="401" spans="1:8" ht="15" x14ac:dyDescent="0.25">
      <c r="B401" s="338" t="s">
        <v>274</v>
      </c>
      <c r="C401" s="228" t="s">
        <v>77</v>
      </c>
      <c r="D401" s="223" t="s">
        <v>130</v>
      </c>
      <c r="E401" s="182" t="s">
        <v>129</v>
      </c>
      <c r="F401" s="242"/>
      <c r="G401" s="243" t="s">
        <v>76</v>
      </c>
    </row>
    <row r="402" spans="1:8" x14ac:dyDescent="0.2">
      <c r="B402" s="306" t="s">
        <v>163</v>
      </c>
      <c r="C402" s="378">
        <v>11242.300000000001</v>
      </c>
      <c r="D402" s="166">
        <f>C402*6%</f>
        <v>674.53800000000001</v>
      </c>
      <c r="E402" s="166">
        <f>C402*6%</f>
        <v>674.53800000000001</v>
      </c>
      <c r="F402" s="132"/>
      <c r="G402" s="166">
        <f>C402+D402+E402</f>
        <v>12591.376000000002</v>
      </c>
      <c r="H402" s="287"/>
    </row>
    <row r="403" spans="1:8" x14ac:dyDescent="0.2">
      <c r="B403" s="306" t="s">
        <v>185</v>
      </c>
      <c r="C403" s="378">
        <v>39103.380000000056</v>
      </c>
      <c r="D403" s="166">
        <f>C403*6%</f>
        <v>2346.2028000000032</v>
      </c>
      <c r="E403" s="166">
        <f>C403*6%</f>
        <v>2346.2028000000032</v>
      </c>
      <c r="F403" s="132"/>
      <c r="G403" s="166">
        <f>SUM(C403:E403)</f>
        <v>43795.785600000068</v>
      </c>
      <c r="H403" s="287"/>
    </row>
    <row r="404" spans="1:8" x14ac:dyDescent="0.2">
      <c r="B404" s="306" t="s">
        <v>492</v>
      </c>
      <c r="C404" s="378">
        <v>360791.55</v>
      </c>
      <c r="D404" s="166">
        <v>21647.492999999999</v>
      </c>
      <c r="E404" s="166">
        <v>21647.492999999999</v>
      </c>
      <c r="F404" s="132"/>
      <c r="G404" s="166">
        <f>SUM(C404:F404)</f>
        <v>404086.53600000002</v>
      </c>
      <c r="H404" s="287"/>
    </row>
    <row r="405" spans="1:8" x14ac:dyDescent="0.2">
      <c r="B405" s="215" t="s">
        <v>275</v>
      </c>
      <c r="C405" s="120">
        <f>SUM(C402:C404)</f>
        <v>411137.23000000004</v>
      </c>
      <c r="D405" s="120">
        <f>SUM(D402:D404)</f>
        <v>24668.233800000002</v>
      </c>
      <c r="E405" s="120">
        <f>SUM(E402:E404)</f>
        <v>24668.233800000002</v>
      </c>
      <c r="F405" s="120"/>
      <c r="G405" s="120">
        <f>SUM(G402:G404)</f>
        <v>460473.69760000007</v>
      </c>
    </row>
    <row r="406" spans="1:8" x14ac:dyDescent="0.2">
      <c r="B406" s="67"/>
      <c r="C406" s="97"/>
      <c r="D406" s="97"/>
      <c r="E406" s="97"/>
      <c r="F406" s="97"/>
    </row>
    <row r="407" spans="1:8" x14ac:dyDescent="0.2">
      <c r="D407" s="80"/>
    </row>
    <row r="408" spans="1:8" x14ac:dyDescent="0.2">
      <c r="A408" s="53" t="s">
        <v>360</v>
      </c>
      <c r="B408" s="338" t="s">
        <v>276</v>
      </c>
      <c r="C408" s="228" t="s">
        <v>77</v>
      </c>
      <c r="D408" s="229" t="s">
        <v>130</v>
      </c>
      <c r="E408" s="229" t="s">
        <v>129</v>
      </c>
      <c r="F408" s="229"/>
      <c r="G408" s="232" t="s">
        <v>76</v>
      </c>
    </row>
    <row r="409" spans="1:8" x14ac:dyDescent="0.2">
      <c r="B409" s="145" t="s">
        <v>179</v>
      </c>
      <c r="C409" s="384">
        <v>15414.85</v>
      </c>
      <c r="D409" s="384">
        <f>C409*6%</f>
        <v>924.89099999999996</v>
      </c>
      <c r="E409" s="384">
        <f>C409*6%</f>
        <v>924.89099999999996</v>
      </c>
      <c r="F409" s="384"/>
      <c r="G409" s="384">
        <f>+C409+D409+E409</f>
        <v>17264.632000000001</v>
      </c>
      <c r="H409" s="287"/>
    </row>
    <row r="410" spans="1:8" x14ac:dyDescent="0.2">
      <c r="B410" s="145" t="s">
        <v>180</v>
      </c>
      <c r="C410" s="384">
        <v>16494.04</v>
      </c>
      <c r="D410" s="384">
        <f>C410*6%</f>
        <v>989.64240000000007</v>
      </c>
      <c r="E410" s="384">
        <f>C410*6%</f>
        <v>989.64240000000007</v>
      </c>
      <c r="F410" s="384"/>
      <c r="G410" s="384">
        <f>+C410+D410+E410</f>
        <v>18473.324800000002</v>
      </c>
      <c r="H410" s="287"/>
    </row>
    <row r="411" spans="1:8" x14ac:dyDescent="0.2">
      <c r="B411" s="162" t="s">
        <v>181</v>
      </c>
      <c r="C411" s="384">
        <v>27075.5</v>
      </c>
      <c r="D411" s="384">
        <f>C411*6%</f>
        <v>1624.53</v>
      </c>
      <c r="E411" s="384">
        <f>C411*6%</f>
        <v>1624.53</v>
      </c>
      <c r="F411" s="384"/>
      <c r="G411" s="384">
        <f>+C411+D411+E411</f>
        <v>30324.559999999998</v>
      </c>
      <c r="H411" s="287"/>
    </row>
    <row r="412" spans="1:8" x14ac:dyDescent="0.2">
      <c r="B412" s="162" t="s">
        <v>363</v>
      </c>
      <c r="C412" s="384">
        <v>9464.0550000000003</v>
      </c>
      <c r="D412" s="384">
        <v>567.8433</v>
      </c>
      <c r="E412" s="384">
        <v>567.8433</v>
      </c>
      <c r="F412" s="384"/>
      <c r="G412" s="384">
        <f>SUM(C412:F412)</f>
        <v>10599.741600000001</v>
      </c>
      <c r="H412" s="287"/>
    </row>
    <row r="413" spans="1:8" x14ac:dyDescent="0.2">
      <c r="B413" s="162" t="s">
        <v>364</v>
      </c>
      <c r="C413" s="384">
        <v>15843.12</v>
      </c>
      <c r="D413" s="384">
        <v>950.58720000000005</v>
      </c>
      <c r="E413" s="384">
        <v>950.58720000000005</v>
      </c>
      <c r="F413" s="384"/>
      <c r="G413" s="384">
        <f>SUM(C413:F413)</f>
        <v>17744.294400000002</v>
      </c>
      <c r="H413" s="287"/>
    </row>
    <row r="414" spans="1:8" x14ac:dyDescent="0.2">
      <c r="B414" s="162" t="s">
        <v>363</v>
      </c>
      <c r="C414" s="384">
        <v>25307</v>
      </c>
      <c r="D414" s="384">
        <v>1518.42</v>
      </c>
      <c r="E414" s="384">
        <v>1518.42</v>
      </c>
      <c r="F414" s="384"/>
      <c r="G414" s="384">
        <f>SUM(C414:F414)</f>
        <v>28343.839999999997</v>
      </c>
      <c r="H414" s="287"/>
    </row>
    <row r="415" spans="1:8" x14ac:dyDescent="0.2">
      <c r="B415" s="215" t="s">
        <v>277</v>
      </c>
      <c r="C415" s="131">
        <f>SUM(C409:C414)</f>
        <v>109598.565</v>
      </c>
      <c r="D415" s="131">
        <f>SUM(D409:D414)</f>
        <v>6575.9138999999996</v>
      </c>
      <c r="E415" s="131">
        <f>SUM(E409:E414)</f>
        <v>6575.9138999999996</v>
      </c>
      <c r="F415" s="131"/>
      <c r="G415" s="131">
        <f>SUM(G409:G414)</f>
        <v>122750.39279999999</v>
      </c>
    </row>
    <row r="416" spans="1:8" x14ac:dyDescent="0.2">
      <c r="B416" s="67"/>
      <c r="C416" s="67"/>
      <c r="D416" s="67"/>
      <c r="E416" s="67"/>
      <c r="F416" s="67"/>
    </row>
    <row r="418" spans="1:8" x14ac:dyDescent="0.2">
      <c r="A418" s="53" t="s">
        <v>360</v>
      </c>
      <c r="B418" s="338" t="s">
        <v>278</v>
      </c>
      <c r="C418" s="228" t="s">
        <v>77</v>
      </c>
      <c r="D418" s="229" t="s">
        <v>130</v>
      </c>
      <c r="E418" s="229" t="s">
        <v>129</v>
      </c>
      <c r="F418" s="182"/>
      <c r="G418" s="237" t="s">
        <v>76</v>
      </c>
    </row>
    <row r="419" spans="1:8" x14ac:dyDescent="0.2">
      <c r="B419" s="295"/>
      <c r="C419" s="295"/>
      <c r="D419" s="295"/>
      <c r="E419" s="295"/>
      <c r="F419" s="132"/>
      <c r="G419" s="291"/>
      <c r="H419" s="287"/>
    </row>
    <row r="420" spans="1:8" x14ac:dyDescent="0.2">
      <c r="B420" s="295" t="s">
        <v>414</v>
      </c>
      <c r="C420" s="295">
        <v>6541960.7300000004</v>
      </c>
      <c r="D420" s="295">
        <v>392517.64380000002</v>
      </c>
      <c r="E420" s="295">
        <v>392517.64380000002</v>
      </c>
      <c r="F420" s="132"/>
      <c r="G420" s="291">
        <f>SUM(C420:F420)</f>
        <v>7326996.0175999999</v>
      </c>
      <c r="H420" s="287"/>
    </row>
    <row r="421" spans="1:8" x14ac:dyDescent="0.2">
      <c r="B421" s="295" t="s">
        <v>415</v>
      </c>
      <c r="C421" s="295">
        <v>24921.599999999999</v>
      </c>
      <c r="D421" s="295">
        <v>1495.296</v>
      </c>
      <c r="E421" s="295">
        <v>1495.296</v>
      </c>
      <c r="F421" s="132"/>
      <c r="G421" s="291">
        <f>SUM(C421:F421)</f>
        <v>27912.191999999995</v>
      </c>
      <c r="H421" s="287"/>
    </row>
    <row r="422" spans="1:8" x14ac:dyDescent="0.2">
      <c r="B422" s="295" t="s">
        <v>474</v>
      </c>
      <c r="C422" s="295">
        <v>7583207.5300000003</v>
      </c>
      <c r="D422" s="295">
        <v>454992.45179999998</v>
      </c>
      <c r="E422" s="295">
        <v>454992.45179999998</v>
      </c>
      <c r="F422" s="132"/>
      <c r="G422" s="291">
        <f>SUM(C422:F422)</f>
        <v>8493192.433600001</v>
      </c>
      <c r="H422" s="287"/>
    </row>
    <row r="423" spans="1:8" x14ac:dyDescent="0.2">
      <c r="B423" s="295" t="s">
        <v>475</v>
      </c>
      <c r="C423" s="295">
        <v>39300</v>
      </c>
      <c r="D423" s="295">
        <v>2358</v>
      </c>
      <c r="E423" s="295">
        <v>2358</v>
      </c>
      <c r="F423" s="132"/>
      <c r="G423" s="291">
        <f>SUM(C423:F423)</f>
        <v>44016</v>
      </c>
      <c r="H423" s="287"/>
    </row>
    <row r="424" spans="1:8" x14ac:dyDescent="0.2">
      <c r="B424" s="295" t="s">
        <v>476</v>
      </c>
      <c r="C424" s="295">
        <v>2164.5</v>
      </c>
      <c r="D424" s="295">
        <v>129.87</v>
      </c>
      <c r="E424" s="295">
        <v>129.87</v>
      </c>
      <c r="F424" s="132"/>
      <c r="G424" s="291">
        <f>SUM(C424:F424)</f>
        <v>2424.2399999999998</v>
      </c>
      <c r="H424" s="287"/>
    </row>
    <row r="425" spans="1:8" x14ac:dyDescent="0.2">
      <c r="B425" s="215" t="s">
        <v>279</v>
      </c>
      <c r="C425" s="131">
        <f>SUM(C419:C424)</f>
        <v>14191554.359999999</v>
      </c>
      <c r="D425" s="131">
        <f>SUM(D419:D424)</f>
        <v>851493.26159999997</v>
      </c>
      <c r="E425" s="131">
        <f>SUM(E419:E424)</f>
        <v>851493.26159999997</v>
      </c>
      <c r="F425" s="131"/>
      <c r="G425" s="131">
        <f>SUM(G419:G424)</f>
        <v>15894540.883200001</v>
      </c>
    </row>
    <row r="426" spans="1:8" x14ac:dyDescent="0.2">
      <c r="B426" s="67"/>
      <c r="C426" s="67"/>
      <c r="D426" s="67"/>
      <c r="E426" s="67"/>
      <c r="F426" s="57"/>
    </row>
    <row r="428" spans="1:8" x14ac:dyDescent="0.2">
      <c r="A428" s="53" t="s">
        <v>360</v>
      </c>
      <c r="B428" s="341" t="s">
        <v>280</v>
      </c>
      <c r="C428" s="229" t="s">
        <v>77</v>
      </c>
      <c r="D428" s="229" t="s">
        <v>130</v>
      </c>
      <c r="E428" s="229" t="s">
        <v>129</v>
      </c>
      <c r="F428" s="229"/>
      <c r="G428" s="215" t="s">
        <v>76</v>
      </c>
    </row>
    <row r="429" spans="1:8" x14ac:dyDescent="0.2">
      <c r="B429" s="147"/>
      <c r="C429" s="384"/>
      <c r="D429" s="378">
        <f>C429*6%</f>
        <v>0</v>
      </c>
      <c r="E429" s="378">
        <f>C429*6%</f>
        <v>0</v>
      </c>
      <c r="F429" s="378"/>
      <c r="G429" s="132"/>
      <c r="H429" s="287"/>
    </row>
    <row r="430" spans="1:8" x14ac:dyDescent="0.2">
      <c r="B430" s="147" t="s">
        <v>409</v>
      </c>
      <c r="C430" s="384">
        <v>9045113.3499999996</v>
      </c>
      <c r="D430" s="378">
        <v>542706.80099999998</v>
      </c>
      <c r="E430" s="378">
        <v>542706.80099999998</v>
      </c>
      <c r="F430" s="384"/>
      <c r="G430" s="303">
        <f t="shared" ref="G430:G431" si="26">SUM(C430:F430)</f>
        <v>10130526.952</v>
      </c>
      <c r="H430" s="287"/>
    </row>
    <row r="431" spans="1:8" x14ac:dyDescent="0.2">
      <c r="B431" s="147" t="s">
        <v>410</v>
      </c>
      <c r="C431" s="384">
        <v>1605975</v>
      </c>
      <c r="D431" s="378">
        <v>96358.5</v>
      </c>
      <c r="E431" s="378">
        <v>96358.5</v>
      </c>
      <c r="F431" s="384"/>
      <c r="G431" s="303">
        <f t="shared" si="26"/>
        <v>1798692</v>
      </c>
      <c r="H431" s="287"/>
    </row>
    <row r="432" spans="1:8" x14ac:dyDescent="0.2">
      <c r="B432" s="147" t="s">
        <v>469</v>
      </c>
      <c r="C432" s="384">
        <v>10395656.199999999</v>
      </c>
      <c r="D432" s="378">
        <v>623739.37199999997</v>
      </c>
      <c r="E432" s="378">
        <v>623739.37199999997</v>
      </c>
      <c r="F432" s="384"/>
      <c r="G432" s="303">
        <f>SUM(C432:F432)</f>
        <v>11643134.943999998</v>
      </c>
      <c r="H432" s="287"/>
    </row>
    <row r="433" spans="1:8" x14ac:dyDescent="0.2">
      <c r="B433" s="147" t="s">
        <v>470</v>
      </c>
      <c r="C433" s="384">
        <v>2584313.7599999998</v>
      </c>
      <c r="D433" s="378">
        <v>155058.82560000001</v>
      </c>
      <c r="E433" s="378">
        <v>155058.82560000001</v>
      </c>
      <c r="F433" s="384"/>
      <c r="G433" s="303">
        <f>SUM(C433:F433)</f>
        <v>2894431.4112</v>
      </c>
      <c r="H433" s="287"/>
    </row>
    <row r="434" spans="1:8" x14ac:dyDescent="0.2">
      <c r="B434" s="215" t="s">
        <v>281</v>
      </c>
      <c r="C434" s="131">
        <f>SUM(C429:C433)</f>
        <v>23631058.309999995</v>
      </c>
      <c r="D434" s="131">
        <f>SUM(D429:D433)</f>
        <v>1417863.4986</v>
      </c>
      <c r="E434" s="131">
        <f>SUM(E429:E433)</f>
        <v>1417863.4986</v>
      </c>
      <c r="F434" s="131"/>
      <c r="G434" s="131">
        <f>SUM(G429:G433)</f>
        <v>26466785.3072</v>
      </c>
    </row>
    <row r="435" spans="1:8" x14ac:dyDescent="0.2">
      <c r="B435" s="67"/>
      <c r="C435" s="67"/>
      <c r="D435" s="67"/>
      <c r="E435" s="67"/>
      <c r="F435" s="67"/>
    </row>
    <row r="437" spans="1:8" x14ac:dyDescent="0.2">
      <c r="A437" s="53" t="s">
        <v>360</v>
      </c>
      <c r="B437" s="340" t="s">
        <v>282</v>
      </c>
      <c r="C437" s="229" t="s">
        <v>77</v>
      </c>
      <c r="D437" s="229" t="s">
        <v>130</v>
      </c>
      <c r="E437" s="229" t="s">
        <v>129</v>
      </c>
      <c r="F437" s="229"/>
      <c r="G437" s="211" t="s">
        <v>76</v>
      </c>
    </row>
    <row r="438" spans="1:8" x14ac:dyDescent="0.2">
      <c r="B438" s="147" t="s">
        <v>376</v>
      </c>
      <c r="C438" s="311">
        <f>381576.7</f>
        <v>381576.7</v>
      </c>
      <c r="D438" s="384">
        <v>22894.601999999999</v>
      </c>
      <c r="E438" s="384">
        <v>22894.601999999999</v>
      </c>
      <c r="F438" s="378"/>
      <c r="G438" s="298">
        <f t="shared" ref="G438:G439" si="27">SUM(C438:F438)</f>
        <v>427365.90400000004</v>
      </c>
      <c r="H438" s="287"/>
    </row>
    <row r="439" spans="1:8" x14ac:dyDescent="0.2">
      <c r="B439" s="147" t="s">
        <v>411</v>
      </c>
      <c r="C439" s="311">
        <v>53151.09</v>
      </c>
      <c r="D439" s="384">
        <v>3189.0654</v>
      </c>
      <c r="E439" s="384">
        <v>3189.0654</v>
      </c>
      <c r="F439" s="378"/>
      <c r="G439" s="298">
        <f t="shared" si="27"/>
        <v>59529.220799999996</v>
      </c>
      <c r="H439" s="287"/>
    </row>
    <row r="440" spans="1:8" x14ac:dyDescent="0.2">
      <c r="B440" s="147" t="s">
        <v>471</v>
      </c>
      <c r="C440" s="311">
        <f>11744153.693-H440</f>
        <v>10227358.716</v>
      </c>
      <c r="D440" s="384">
        <v>704649.22158000001</v>
      </c>
      <c r="E440" s="384">
        <v>704649.22158000001</v>
      </c>
      <c r="F440" s="378"/>
      <c r="G440" s="298">
        <f>SUM(C440:F440)</f>
        <v>11636657.159160001</v>
      </c>
      <c r="H440" s="287">
        <v>1516794.977</v>
      </c>
    </row>
    <row r="441" spans="1:8" x14ac:dyDescent="0.2">
      <c r="B441" s="215" t="s">
        <v>283</v>
      </c>
      <c r="C441" s="131">
        <f>SUM(C438:C440)</f>
        <v>10662086.506000001</v>
      </c>
      <c r="D441" s="131">
        <f>SUM(D438:D440)</f>
        <v>730732.88898000005</v>
      </c>
      <c r="E441" s="131">
        <f>SUM(E438:E440)</f>
        <v>730732.88898000005</v>
      </c>
      <c r="F441" s="131"/>
      <c r="G441" s="131">
        <f>SUM(G438:G440)</f>
        <v>12123552.283960002</v>
      </c>
    </row>
    <row r="442" spans="1:8" x14ac:dyDescent="0.2">
      <c r="B442" s="67"/>
      <c r="C442" s="67"/>
      <c r="D442" s="67"/>
      <c r="E442" s="67"/>
      <c r="F442" s="67"/>
      <c r="G442" s="67"/>
    </row>
    <row r="444" spans="1:8" x14ac:dyDescent="0.2">
      <c r="B444" s="229" t="s">
        <v>284</v>
      </c>
      <c r="C444" s="228" t="s">
        <v>77</v>
      </c>
      <c r="D444" s="229" t="s">
        <v>130</v>
      </c>
      <c r="E444" s="229" t="s">
        <v>129</v>
      </c>
      <c r="F444" s="229"/>
      <c r="G444" s="229" t="s">
        <v>76</v>
      </c>
    </row>
    <row r="445" spans="1:8" x14ac:dyDescent="0.2">
      <c r="B445" s="145"/>
      <c r="C445" s="261"/>
      <c r="D445" s="262">
        <f>C445*9%</f>
        <v>0</v>
      </c>
      <c r="E445" s="262">
        <f>C445*9%</f>
        <v>0</v>
      </c>
      <c r="F445" s="262"/>
      <c r="G445" s="262"/>
      <c r="H445" s="287"/>
    </row>
    <row r="446" spans="1:8" x14ac:dyDescent="0.2">
      <c r="B446" s="215" t="s">
        <v>285</v>
      </c>
      <c r="C446" s="131">
        <f>SUM(C445:C445)</f>
        <v>0</v>
      </c>
      <c r="D446" s="131">
        <f>SUM(D445:D445)</f>
        <v>0</v>
      </c>
      <c r="E446" s="131">
        <f>SUM(E445:E445)</f>
        <v>0</v>
      </c>
      <c r="F446" s="131"/>
      <c r="G446" s="131">
        <f>SUM(G445:G445)</f>
        <v>0</v>
      </c>
    </row>
    <row r="447" spans="1:8" x14ac:dyDescent="0.2">
      <c r="B447" s="67"/>
      <c r="C447" s="67"/>
      <c r="D447" s="67"/>
      <c r="E447" s="67"/>
      <c r="F447" s="67"/>
    </row>
    <row r="449" spans="1:8" x14ac:dyDescent="0.2">
      <c r="A449" s="53" t="s">
        <v>360</v>
      </c>
      <c r="B449" s="340" t="s">
        <v>286</v>
      </c>
      <c r="C449" s="228" t="s">
        <v>77</v>
      </c>
      <c r="D449" s="229" t="s">
        <v>130</v>
      </c>
      <c r="E449" s="229" t="s">
        <v>129</v>
      </c>
      <c r="F449" s="229"/>
      <c r="G449" s="215" t="s">
        <v>76</v>
      </c>
    </row>
    <row r="450" spans="1:8" ht="15" x14ac:dyDescent="0.25">
      <c r="B450" s="132" t="s">
        <v>422</v>
      </c>
      <c r="C450" s="387">
        <f>14478273.772-H450</f>
        <v>11097600.9</v>
      </c>
      <c r="D450" s="378">
        <f>C450*0.06</f>
        <v>665856.054</v>
      </c>
      <c r="E450" s="378">
        <f>C450*0.06</f>
        <v>665856.054</v>
      </c>
      <c r="F450" s="378"/>
      <c r="G450" s="291">
        <f>C450+D450+E450</f>
        <v>12429313.007999999</v>
      </c>
      <c r="H450" s="287">
        <v>3380672.872</v>
      </c>
    </row>
    <row r="451" spans="1:8" x14ac:dyDescent="0.2">
      <c r="B451" s="131" t="s">
        <v>287</v>
      </c>
      <c r="C451" s="131">
        <f>SUM(C450:C450)</f>
        <v>11097600.9</v>
      </c>
      <c r="D451" s="131">
        <f>SUM(D450:D450)</f>
        <v>665856.054</v>
      </c>
      <c r="E451" s="131">
        <f>SUM(E450:E450)</f>
        <v>665856.054</v>
      </c>
      <c r="F451" s="131"/>
      <c r="G451" s="131">
        <f>SUM(G450:G450)</f>
        <v>12429313.007999999</v>
      </c>
    </row>
    <row r="452" spans="1:8" x14ac:dyDescent="0.2">
      <c r="B452" s="67"/>
      <c r="C452" s="67"/>
      <c r="D452" s="67"/>
      <c r="E452" s="67"/>
      <c r="F452" s="67"/>
    </row>
    <row r="453" spans="1:8" x14ac:dyDescent="0.2">
      <c r="B453" s="67"/>
      <c r="C453" s="67"/>
      <c r="D453" s="67"/>
      <c r="E453" s="67"/>
      <c r="F453" s="67"/>
    </row>
    <row r="454" spans="1:8" x14ac:dyDescent="0.2">
      <c r="A454" s="53" t="s">
        <v>360</v>
      </c>
      <c r="B454" s="338" t="s">
        <v>288</v>
      </c>
      <c r="C454" s="228" t="s">
        <v>77</v>
      </c>
      <c r="D454" s="229" t="s">
        <v>130</v>
      </c>
      <c r="E454" s="229" t="s">
        <v>129</v>
      </c>
      <c r="F454" s="229"/>
      <c r="G454" s="244" t="s">
        <v>76</v>
      </c>
    </row>
    <row r="455" spans="1:8" ht="15" x14ac:dyDescent="0.25">
      <c r="B455" s="268" t="s">
        <v>366</v>
      </c>
      <c r="C455" s="330">
        <v>15200.85</v>
      </c>
      <c r="D455" s="378">
        <f>C455*0.06</f>
        <v>912.05100000000004</v>
      </c>
      <c r="E455" s="378">
        <f>C455*0.06</f>
        <v>912.05100000000004</v>
      </c>
      <c r="F455" s="378"/>
      <c r="G455" s="210">
        <f>SUM(C455:F455)</f>
        <v>17024.952000000001</v>
      </c>
      <c r="H455" s="287"/>
    </row>
    <row r="456" spans="1:8" ht="15" x14ac:dyDescent="0.25">
      <c r="B456" s="268" t="s">
        <v>422</v>
      </c>
      <c r="C456" s="330">
        <v>366047.78</v>
      </c>
      <c r="D456" s="378">
        <f>C456*0.06</f>
        <v>21962.8668</v>
      </c>
      <c r="E456" s="378">
        <f>C456*0.06</f>
        <v>21962.8668</v>
      </c>
      <c r="F456" s="378"/>
      <c r="G456" s="210">
        <f>SUM(C456:F456)</f>
        <v>409973.51360000006</v>
      </c>
      <c r="H456" s="287"/>
    </row>
    <row r="457" spans="1:8" x14ac:dyDescent="0.2">
      <c r="B457" s="215" t="s">
        <v>289</v>
      </c>
      <c r="C457" s="131">
        <f>SUM(C455:C456)</f>
        <v>381248.63</v>
      </c>
      <c r="D457" s="131">
        <f>SUM(D455:D456)</f>
        <v>22874.917799999999</v>
      </c>
      <c r="E457" s="131">
        <f>SUM(E455:E456)</f>
        <v>22874.917799999999</v>
      </c>
      <c r="F457" s="131"/>
      <c r="G457" s="131">
        <f>SUM(G455:G456)</f>
        <v>426998.46560000005</v>
      </c>
    </row>
    <row r="458" spans="1:8" x14ac:dyDescent="0.2">
      <c r="B458" s="67"/>
      <c r="C458" s="67"/>
      <c r="D458" s="67"/>
      <c r="E458" s="67"/>
      <c r="F458" s="67"/>
    </row>
    <row r="460" spans="1:8" x14ac:dyDescent="0.2">
      <c r="A460" s="53" t="s">
        <v>360</v>
      </c>
      <c r="B460" s="338" t="s">
        <v>290</v>
      </c>
      <c r="C460" s="228" t="s">
        <v>77</v>
      </c>
      <c r="D460" s="229" t="s">
        <v>130</v>
      </c>
      <c r="E460" s="229" t="s">
        <v>129</v>
      </c>
      <c r="F460" s="229"/>
      <c r="G460" s="207" t="s">
        <v>76</v>
      </c>
    </row>
    <row r="461" spans="1:8" x14ac:dyDescent="0.2">
      <c r="B461" s="276"/>
      <c r="C461" s="295"/>
      <c r="D461" s="295"/>
      <c r="E461" s="295"/>
      <c r="F461" s="295"/>
      <c r="G461" s="303"/>
      <c r="H461" s="287"/>
    </row>
    <row r="462" spans="1:8" x14ac:dyDescent="0.2">
      <c r="B462" s="277" t="s">
        <v>352</v>
      </c>
      <c r="C462" s="295">
        <v>25911</v>
      </c>
      <c r="D462" s="296">
        <v>2331.9899999999998</v>
      </c>
      <c r="E462" s="296">
        <v>2331.9899999999998</v>
      </c>
      <c r="F462" s="296"/>
      <c r="G462" s="303">
        <f t="shared" ref="G462" si="28">SUM(C462:F462)</f>
        <v>30574.979999999996</v>
      </c>
      <c r="H462" s="287"/>
    </row>
    <row r="463" spans="1:8" ht="15" x14ac:dyDescent="0.25">
      <c r="B463" s="347" t="s">
        <v>412</v>
      </c>
      <c r="C463" s="295">
        <f>810142-H463</f>
        <v>729285.2</v>
      </c>
      <c r="D463" s="296">
        <f>C463*0.06</f>
        <v>43757.111999999994</v>
      </c>
      <c r="E463" s="296">
        <f>C463*0.06</f>
        <v>43757.111999999994</v>
      </c>
      <c r="F463" s="296"/>
      <c r="G463" s="303">
        <f>SUM(C463:F463)</f>
        <v>816799.42399999988</v>
      </c>
      <c r="H463" s="287">
        <v>80856.800000000003</v>
      </c>
    </row>
    <row r="464" spans="1:8" ht="15" x14ac:dyDescent="0.25">
      <c r="B464" s="347" t="s">
        <v>413</v>
      </c>
      <c r="C464" s="295">
        <v>522668</v>
      </c>
      <c r="D464" s="296">
        <f>C464*0.09</f>
        <v>47040.119999999995</v>
      </c>
      <c r="E464" s="296">
        <f>C464*0.09</f>
        <v>47040.119999999995</v>
      </c>
      <c r="F464" s="296"/>
      <c r="G464" s="303">
        <f>SUM(C464:F464)</f>
        <v>616748.24</v>
      </c>
      <c r="H464" s="287"/>
    </row>
    <row r="465" spans="2:8" x14ac:dyDescent="0.2">
      <c r="B465" s="277" t="s">
        <v>472</v>
      </c>
      <c r="C465" s="295">
        <f>1214955-H465</f>
        <v>793840.5</v>
      </c>
      <c r="D465" s="296">
        <v>72897.3</v>
      </c>
      <c r="E465" s="296">
        <v>72897.3</v>
      </c>
      <c r="F465" s="296"/>
      <c r="G465" s="303">
        <f>SUM(C465:F465)</f>
        <v>939635.10000000009</v>
      </c>
      <c r="H465" s="287">
        <v>421114.50000000006</v>
      </c>
    </row>
    <row r="466" spans="2:8" x14ac:dyDescent="0.2">
      <c r="B466" s="277" t="s">
        <v>473</v>
      </c>
      <c r="C466" s="295">
        <v>746245</v>
      </c>
      <c r="D466" s="296">
        <v>67162.05</v>
      </c>
      <c r="E466" s="296">
        <v>67162.05</v>
      </c>
      <c r="F466" s="296"/>
      <c r="G466" s="303">
        <f>SUM(C466:F466)</f>
        <v>880569.10000000009</v>
      </c>
      <c r="H466" s="287"/>
    </row>
    <row r="467" spans="2:8" x14ac:dyDescent="0.2">
      <c r="B467" s="215" t="s">
        <v>291</v>
      </c>
      <c r="C467" s="131">
        <f>SUM(C461:C466)</f>
        <v>2817949.7</v>
      </c>
      <c r="D467" s="131">
        <f>SUM(D461:D466)</f>
        <v>233188.57199999999</v>
      </c>
      <c r="E467" s="131">
        <f>SUM(E461:E466)</f>
        <v>233188.57199999999</v>
      </c>
      <c r="F467" s="131"/>
      <c r="G467" s="131">
        <f>SUM(G461:G466)</f>
        <v>3284326.844</v>
      </c>
    </row>
    <row r="468" spans="2:8" x14ac:dyDescent="0.2">
      <c r="B468" s="67"/>
      <c r="C468" s="67"/>
      <c r="D468" s="67"/>
      <c r="E468" s="67"/>
      <c r="F468" s="67"/>
    </row>
    <row r="470" spans="2:8" x14ac:dyDescent="0.2">
      <c r="B470" s="338" t="s">
        <v>292</v>
      </c>
      <c r="C470" s="228" t="s">
        <v>77</v>
      </c>
      <c r="D470" s="229" t="s">
        <v>130</v>
      </c>
      <c r="E470" s="229" t="s">
        <v>129</v>
      </c>
      <c r="F470" s="229"/>
      <c r="G470" s="245" t="s">
        <v>76</v>
      </c>
    </row>
    <row r="471" spans="2:8" x14ac:dyDescent="0.2">
      <c r="B471" s="269"/>
      <c r="C471" s="246"/>
      <c r="D471" s="379"/>
      <c r="E471" s="380"/>
      <c r="F471" s="209"/>
      <c r="G471" s="246">
        <f t="shared" ref="G471:G472" si="29">SUM(C471:F471)</f>
        <v>0</v>
      </c>
      <c r="H471" s="287"/>
    </row>
    <row r="472" spans="2:8" x14ac:dyDescent="0.2">
      <c r="B472" s="269" t="s">
        <v>454</v>
      </c>
      <c r="C472" s="246">
        <v>11879560.9</v>
      </c>
      <c r="D472" s="379">
        <v>712773.65399999998</v>
      </c>
      <c r="E472" s="380">
        <v>712773.65399999998</v>
      </c>
      <c r="F472" s="209"/>
      <c r="G472" s="246">
        <f t="shared" si="29"/>
        <v>13305108.207999999</v>
      </c>
      <c r="H472" s="287"/>
    </row>
    <row r="473" spans="2:8" ht="15.75" x14ac:dyDescent="0.25">
      <c r="B473" s="247" t="s">
        <v>293</v>
      </c>
      <c r="C473" s="185">
        <f>SUM(C471:C472)</f>
        <v>11879560.9</v>
      </c>
      <c r="D473" s="185">
        <f>SUM(D471:D472)</f>
        <v>712773.65399999998</v>
      </c>
      <c r="E473" s="185">
        <f>SUM(E471:E472)</f>
        <v>712773.65399999998</v>
      </c>
      <c r="F473" s="185"/>
      <c r="G473" s="185">
        <f>SUM(G471:G472)</f>
        <v>13305108.207999999</v>
      </c>
    </row>
    <row r="474" spans="2:8" ht="15.75" x14ac:dyDescent="0.25">
      <c r="B474" s="248"/>
      <c r="C474" s="248"/>
      <c r="D474" s="248"/>
      <c r="E474" s="248"/>
      <c r="F474" s="248"/>
    </row>
    <row r="476" spans="2:8" x14ac:dyDescent="0.2">
      <c r="B476" s="338" t="s">
        <v>294</v>
      </c>
      <c r="C476" s="228" t="s">
        <v>77</v>
      </c>
      <c r="D476" s="229" t="s">
        <v>130</v>
      </c>
      <c r="E476" s="229" t="s">
        <v>129</v>
      </c>
      <c r="F476" s="229"/>
      <c r="G476" s="230" t="s">
        <v>76</v>
      </c>
    </row>
    <row r="477" spans="2:8" x14ac:dyDescent="0.2">
      <c r="B477" s="268"/>
      <c r="C477" s="209"/>
      <c r="D477" s="246"/>
      <c r="E477" s="246"/>
      <c r="F477" s="225"/>
      <c r="G477" s="209"/>
      <c r="H477" s="287"/>
    </row>
    <row r="478" spans="2:8" ht="15" x14ac:dyDescent="0.25">
      <c r="B478" s="167" t="s">
        <v>166</v>
      </c>
      <c r="C478" s="34">
        <f>1.8*10^7</f>
        <v>18000000</v>
      </c>
      <c r="D478" s="344">
        <f>+C478*6%</f>
        <v>1080000</v>
      </c>
      <c r="E478" s="344">
        <f>+C478*6%</f>
        <v>1080000</v>
      </c>
      <c r="F478" s="345"/>
      <c r="G478" s="34">
        <f>SUM(C478:F478)</f>
        <v>20160000</v>
      </c>
      <c r="H478" s="287"/>
    </row>
    <row r="479" spans="2:8" ht="15" x14ac:dyDescent="0.25">
      <c r="B479" s="167" t="s">
        <v>367</v>
      </c>
      <c r="C479" s="34">
        <f>-(6.6*10^7)</f>
        <v>-66000000</v>
      </c>
      <c r="D479" s="344"/>
      <c r="E479" s="344"/>
      <c r="F479" s="345"/>
      <c r="G479" s="34">
        <f t="shared" ref="G479" si="30">SUM(C479:F479)</f>
        <v>-66000000</v>
      </c>
      <c r="H479" s="84"/>
    </row>
    <row r="480" spans="2:8" ht="15" x14ac:dyDescent="0.25">
      <c r="B480" s="167" t="s">
        <v>455</v>
      </c>
      <c r="C480" s="34">
        <v>141040621.095</v>
      </c>
      <c r="D480" s="344">
        <v>8462437.2656999994</v>
      </c>
      <c r="E480" s="344">
        <v>8462437.2656999994</v>
      </c>
      <c r="F480" s="345"/>
      <c r="G480" s="34">
        <f t="shared" ref="G480:G481" si="31">SUM(C480:F480)</f>
        <v>157965495.62640002</v>
      </c>
      <c r="H480" s="84"/>
    </row>
    <row r="481" spans="2:8" ht="15" x14ac:dyDescent="0.25">
      <c r="B481" s="167" t="s">
        <v>456</v>
      </c>
      <c r="C481" s="34">
        <v>525848.48</v>
      </c>
      <c r="D481" s="344">
        <v>47326.3632</v>
      </c>
      <c r="E481" s="344">
        <v>47326.3632</v>
      </c>
      <c r="F481" s="345"/>
      <c r="G481" s="34">
        <f t="shared" si="31"/>
        <v>620501.20640000002</v>
      </c>
      <c r="H481" s="84"/>
    </row>
    <row r="482" spans="2:8" x14ac:dyDescent="0.2">
      <c r="B482" s="215" t="s">
        <v>295</v>
      </c>
      <c r="C482" s="131">
        <f>SUM(C477:C481)</f>
        <v>93566469.575000003</v>
      </c>
      <c r="D482" s="131">
        <f>SUM(D477:D481)</f>
        <v>9589763.628899999</v>
      </c>
      <c r="E482" s="131">
        <f>SUM(E477:E481)</f>
        <v>9589763.628899999</v>
      </c>
      <c r="F482" s="131"/>
      <c r="G482" s="131">
        <f>SUM(G477:G481)</f>
        <v>112745996.83280003</v>
      </c>
    </row>
    <row r="483" spans="2:8" x14ac:dyDescent="0.2">
      <c r="B483" s="67"/>
      <c r="C483" s="67"/>
      <c r="D483" s="67"/>
      <c r="E483" s="67"/>
      <c r="F483" s="67"/>
    </row>
    <row r="484" spans="2:8" x14ac:dyDescent="0.2">
      <c r="C484" s="179"/>
    </row>
    <row r="485" spans="2:8" x14ac:dyDescent="0.2">
      <c r="B485" s="228" t="s">
        <v>296</v>
      </c>
      <c r="C485" s="228" t="s">
        <v>77</v>
      </c>
      <c r="D485" s="229" t="s">
        <v>130</v>
      </c>
      <c r="E485" s="182" t="s">
        <v>129</v>
      </c>
      <c r="F485" s="182"/>
      <c r="G485" s="182" t="s">
        <v>76</v>
      </c>
    </row>
    <row r="486" spans="2:8" x14ac:dyDescent="0.2">
      <c r="B486" s="268"/>
      <c r="C486" s="225"/>
      <c r="D486" s="246">
        <f>C486*9%</f>
        <v>0</v>
      </c>
      <c r="E486" s="246">
        <f>C486*9%</f>
        <v>0</v>
      </c>
      <c r="F486" s="132"/>
      <c r="G486" s="345"/>
      <c r="H486" s="287"/>
    </row>
    <row r="487" spans="2:8" x14ac:dyDescent="0.2">
      <c r="B487" s="215" t="s">
        <v>297</v>
      </c>
      <c r="C487" s="120">
        <f>SUM(C486:C486)</f>
        <v>0</v>
      </c>
      <c r="D487" s="120">
        <f>SUM(D486:D486)</f>
        <v>0</v>
      </c>
      <c r="E487" s="120">
        <f>SUM(E486:E486)</f>
        <v>0</v>
      </c>
      <c r="F487" s="120"/>
      <c r="G487" s="120">
        <f>SUM(G486:G486)</f>
        <v>0</v>
      </c>
    </row>
    <row r="488" spans="2:8" x14ac:dyDescent="0.2">
      <c r="B488" s="67"/>
      <c r="C488" s="97"/>
      <c r="D488" s="97"/>
      <c r="E488" s="97"/>
      <c r="F488" s="57"/>
      <c r="G488" s="97"/>
    </row>
    <row r="490" spans="2:8" x14ac:dyDescent="0.2">
      <c r="B490" s="228" t="s">
        <v>298</v>
      </c>
      <c r="C490" s="228" t="s">
        <v>77</v>
      </c>
      <c r="D490" s="229" t="s">
        <v>130</v>
      </c>
      <c r="E490" s="229" t="s">
        <v>129</v>
      </c>
      <c r="F490" s="229"/>
      <c r="G490" s="215" t="s">
        <v>76</v>
      </c>
    </row>
    <row r="491" spans="2:8" x14ac:dyDescent="0.2">
      <c r="B491" s="295"/>
      <c r="C491" s="295">
        <v>0</v>
      </c>
      <c r="D491" s="391">
        <f>C491*9%</f>
        <v>0</v>
      </c>
      <c r="E491" s="378">
        <f>C491*9%</f>
        <v>0</v>
      </c>
      <c r="F491" s="132"/>
      <c r="G491" s="291"/>
      <c r="H491" s="287"/>
    </row>
    <row r="492" spans="2:8" x14ac:dyDescent="0.2">
      <c r="B492" s="215" t="s">
        <v>299</v>
      </c>
      <c r="C492" s="120">
        <f>SUM(C491:C491)</f>
        <v>0</v>
      </c>
      <c r="D492" s="120">
        <f>SUM(D491:D491)</f>
        <v>0</v>
      </c>
      <c r="E492" s="120">
        <f>SUM(E491:E491)</f>
        <v>0</v>
      </c>
      <c r="F492" s="120"/>
      <c r="G492" s="120">
        <f>SUM(G491:G491)</f>
        <v>0</v>
      </c>
    </row>
    <row r="493" spans="2:8" x14ac:dyDescent="0.2">
      <c r="B493" s="67"/>
      <c r="C493" s="97"/>
      <c r="D493" s="97"/>
      <c r="E493" s="97"/>
      <c r="F493" s="97"/>
    </row>
    <row r="495" spans="2:8" x14ac:dyDescent="0.2">
      <c r="B495" s="335" t="s">
        <v>300</v>
      </c>
      <c r="C495" s="207" t="s">
        <v>77</v>
      </c>
      <c r="D495" s="215" t="s">
        <v>130</v>
      </c>
      <c r="E495" s="215" t="s">
        <v>129</v>
      </c>
      <c r="F495" s="215"/>
      <c r="G495" s="207" t="s">
        <v>76</v>
      </c>
    </row>
    <row r="496" spans="2:8" x14ac:dyDescent="0.2">
      <c r="B496" s="303" t="s">
        <v>446</v>
      </c>
      <c r="C496" s="291">
        <v>276735.44998303731</v>
      </c>
      <c r="D496" s="291">
        <f>C496*0.06</f>
        <v>16604.126998982239</v>
      </c>
      <c r="E496" s="291">
        <f>C496*0.06</f>
        <v>16604.126998982239</v>
      </c>
      <c r="F496" s="291"/>
      <c r="G496" s="291">
        <f>SUM(C496:F496)</f>
        <v>309943.70398100174</v>
      </c>
      <c r="H496" s="287"/>
    </row>
    <row r="497" spans="1:8" x14ac:dyDescent="0.2">
      <c r="B497" s="303" t="s">
        <v>457</v>
      </c>
      <c r="C497" s="291">
        <v>488906.20263594203</v>
      </c>
      <c r="D497" s="291">
        <v>29334.372158156501</v>
      </c>
      <c r="E497" s="291">
        <v>29334.372158156501</v>
      </c>
      <c r="F497" s="291"/>
      <c r="G497" s="291">
        <f>SUM(C497:F497)</f>
        <v>547574.94695225498</v>
      </c>
      <c r="H497" s="287"/>
    </row>
    <row r="498" spans="1:8" x14ac:dyDescent="0.2">
      <c r="B498" s="202" t="s">
        <v>301</v>
      </c>
      <c r="C498" s="146">
        <f>SUM(C496:C497)</f>
        <v>765641.65261897934</v>
      </c>
      <c r="D498" s="146">
        <f>SUM(D496:D497)</f>
        <v>45938.499157138736</v>
      </c>
      <c r="E498" s="146">
        <f>SUM(E496:E497)</f>
        <v>45938.499157138736</v>
      </c>
      <c r="F498" s="146"/>
      <c r="G498" s="146">
        <f>SUM(G496:G497)</f>
        <v>857518.65093325672</v>
      </c>
    </row>
    <row r="499" spans="1:8" x14ac:dyDescent="0.2">
      <c r="B499" s="113"/>
      <c r="C499" s="114"/>
      <c r="D499" s="114"/>
      <c r="E499" s="114"/>
      <c r="F499" s="114"/>
    </row>
    <row r="501" spans="1:8" x14ac:dyDescent="0.2">
      <c r="A501" s="53" t="s">
        <v>360</v>
      </c>
      <c r="B501" s="335" t="s">
        <v>302</v>
      </c>
      <c r="C501" s="207" t="s">
        <v>77</v>
      </c>
      <c r="D501" s="215" t="s">
        <v>130</v>
      </c>
      <c r="E501" s="215" t="s">
        <v>129</v>
      </c>
      <c r="F501" s="215"/>
      <c r="G501" s="249" t="s">
        <v>76</v>
      </c>
    </row>
    <row r="502" spans="1:8" ht="15" x14ac:dyDescent="0.25">
      <c r="B502" s="144" t="s">
        <v>422</v>
      </c>
      <c r="C502" s="330">
        <v>230192.4</v>
      </c>
      <c r="D502" s="296">
        <f>C502*0.06</f>
        <v>13811.544</v>
      </c>
      <c r="E502" s="296">
        <f>C502*0.06</f>
        <v>13811.544</v>
      </c>
      <c r="F502" s="308"/>
      <c r="G502" s="312">
        <f>SUM(C502:F502)</f>
        <v>257815.48799999998</v>
      </c>
      <c r="H502" s="287"/>
    </row>
    <row r="503" spans="1:8" x14ac:dyDescent="0.2">
      <c r="B503" s="202" t="s">
        <v>303</v>
      </c>
      <c r="C503" s="146">
        <f>SUM(C502:C502)</f>
        <v>230192.4</v>
      </c>
      <c r="D503" s="146">
        <f>SUM(D502:D502)</f>
        <v>13811.544</v>
      </c>
      <c r="E503" s="146">
        <f>SUM(E502:E502)</f>
        <v>13811.544</v>
      </c>
      <c r="F503" s="146"/>
      <c r="G503" s="146">
        <f>SUM(G502:G502)</f>
        <v>257815.48799999998</v>
      </c>
    </row>
    <row r="504" spans="1:8" x14ac:dyDescent="0.2">
      <c r="B504" s="113"/>
      <c r="C504" s="114"/>
      <c r="D504" s="114"/>
      <c r="E504" s="114"/>
      <c r="F504" s="114"/>
      <c r="G504" s="114"/>
    </row>
    <row r="505" spans="1:8" x14ac:dyDescent="0.2">
      <c r="B505" s="113"/>
      <c r="C505" s="114"/>
      <c r="D505" s="114"/>
      <c r="E505" s="114"/>
      <c r="F505" s="114"/>
      <c r="G505" s="114"/>
    </row>
    <row r="506" spans="1:8" x14ac:dyDescent="0.2">
      <c r="B506" s="335" t="s">
        <v>304</v>
      </c>
      <c r="C506" s="207" t="s">
        <v>77</v>
      </c>
      <c r="D506" s="215" t="s">
        <v>130</v>
      </c>
      <c r="E506" s="215" t="s">
        <v>129</v>
      </c>
      <c r="F506" s="215"/>
      <c r="G506" s="215" t="s">
        <v>76</v>
      </c>
    </row>
    <row r="507" spans="1:8" ht="15" x14ac:dyDescent="0.25">
      <c r="B507" s="303"/>
      <c r="C507" s="387"/>
      <c r="D507" s="307"/>
      <c r="E507" s="308"/>
      <c r="F507" s="309"/>
      <c r="G507" s="291"/>
      <c r="H507" s="287"/>
    </row>
    <row r="508" spans="1:8" ht="15" x14ac:dyDescent="0.25">
      <c r="B508" s="303" t="s">
        <v>422</v>
      </c>
      <c r="C508" s="387">
        <v>39006.198000000004</v>
      </c>
      <c r="D508" s="307">
        <f>C508*0.06</f>
        <v>2340.3718800000001</v>
      </c>
      <c r="E508" s="308">
        <f>C508*0.06</f>
        <v>2340.3718800000001</v>
      </c>
      <c r="F508" s="309"/>
      <c r="G508" s="291">
        <f>SUM(C508:F508)</f>
        <v>43686.941760000002</v>
      </c>
      <c r="H508" s="287"/>
    </row>
    <row r="509" spans="1:8" x14ac:dyDescent="0.2">
      <c r="B509" s="202" t="s">
        <v>305</v>
      </c>
      <c r="C509" s="146">
        <f>SUM(C507:C508)</f>
        <v>39006.198000000004</v>
      </c>
      <c r="D509" s="146">
        <f>SUM(D507:D508)</f>
        <v>2340.3718800000001</v>
      </c>
      <c r="E509" s="146">
        <f>SUM(E507:E508)</f>
        <v>2340.3718800000001</v>
      </c>
      <c r="F509" s="146"/>
      <c r="G509" s="146">
        <f>SUM(G507:G508)</f>
        <v>43686.941760000002</v>
      </c>
    </row>
    <row r="510" spans="1:8" x14ac:dyDescent="0.2">
      <c r="B510" s="113"/>
      <c r="C510" s="114"/>
      <c r="D510" s="114"/>
      <c r="E510" s="114"/>
      <c r="F510" s="114"/>
    </row>
    <row r="511" spans="1:8" x14ac:dyDescent="0.2">
      <c r="B511" s="113"/>
      <c r="C511" s="114"/>
      <c r="D511" s="114"/>
      <c r="E511" s="114"/>
      <c r="F511" s="114"/>
    </row>
    <row r="512" spans="1:8" x14ac:dyDescent="0.2">
      <c r="B512" s="335" t="s">
        <v>306</v>
      </c>
      <c r="C512" s="207" t="s">
        <v>77</v>
      </c>
      <c r="D512" s="215" t="s">
        <v>130</v>
      </c>
      <c r="E512" s="215" t="s">
        <v>129</v>
      </c>
      <c r="F512" s="215"/>
      <c r="G512" s="249" t="s">
        <v>76</v>
      </c>
    </row>
    <row r="513" spans="2:8" ht="15" x14ac:dyDescent="0.25">
      <c r="B513" s="143" t="s">
        <v>422</v>
      </c>
      <c r="C513" s="387">
        <v>38029.009999999995</v>
      </c>
      <c r="D513" s="296">
        <f>C513*6%</f>
        <v>2281.7405999999996</v>
      </c>
      <c r="E513" s="296">
        <f>C513*6%</f>
        <v>2281.7405999999996</v>
      </c>
      <c r="F513" s="295"/>
      <c r="G513" s="312">
        <f>C513+D513+E513</f>
        <v>42592.491199999989</v>
      </c>
      <c r="H513" s="287"/>
    </row>
    <row r="514" spans="2:8" x14ac:dyDescent="0.2">
      <c r="B514" s="202" t="s">
        <v>307</v>
      </c>
      <c r="C514" s="146">
        <f>SUM(C513:C513)</f>
        <v>38029.009999999995</v>
      </c>
      <c r="D514" s="146">
        <f>SUM(D513:D513)</f>
        <v>2281.7405999999996</v>
      </c>
      <c r="E514" s="146">
        <f>SUM(E513:E513)</f>
        <v>2281.7405999999996</v>
      </c>
      <c r="F514" s="146"/>
      <c r="G514" s="146">
        <f>SUM(G513:G513)</f>
        <v>42592.491199999989</v>
      </c>
    </row>
    <row r="515" spans="2:8" x14ac:dyDescent="0.2">
      <c r="B515" s="113"/>
      <c r="C515" s="114"/>
      <c r="D515" s="114"/>
      <c r="E515" s="114"/>
      <c r="F515" s="114"/>
      <c r="G515" s="114"/>
    </row>
    <row r="516" spans="2:8" x14ac:dyDescent="0.2">
      <c r="B516" s="113"/>
      <c r="C516" s="114"/>
      <c r="D516" s="114"/>
      <c r="E516" s="114"/>
      <c r="F516" s="114"/>
      <c r="G516" s="114"/>
    </row>
    <row r="517" spans="2:8" x14ac:dyDescent="0.2">
      <c r="B517" s="207" t="s">
        <v>308</v>
      </c>
      <c r="C517" s="207" t="s">
        <v>77</v>
      </c>
      <c r="D517" s="215" t="s">
        <v>130</v>
      </c>
      <c r="E517" s="215" t="s">
        <v>129</v>
      </c>
      <c r="F517" s="215"/>
      <c r="G517" s="215" t="s">
        <v>76</v>
      </c>
    </row>
    <row r="518" spans="2:8" x14ac:dyDescent="0.2">
      <c r="B518" s="145"/>
      <c r="C518" s="262"/>
      <c r="D518" s="263">
        <f>C518*9%</f>
        <v>0</v>
      </c>
      <c r="E518" s="263">
        <f>C518*9%</f>
        <v>0</v>
      </c>
      <c r="F518" s="264"/>
      <c r="G518" s="260" t="e">
        <f>SUM(#REF!)</f>
        <v>#REF!</v>
      </c>
      <c r="H518" s="287"/>
    </row>
    <row r="519" spans="2:8" x14ac:dyDescent="0.2">
      <c r="B519" s="202" t="s">
        <v>309</v>
      </c>
      <c r="C519" s="146">
        <f>SUM(C518:C518)</f>
        <v>0</v>
      </c>
      <c r="D519" s="146">
        <f>SUM(D518:D518)</f>
        <v>0</v>
      </c>
      <c r="E519" s="146">
        <f>SUM(E518:E518)</f>
        <v>0</v>
      </c>
      <c r="F519" s="146"/>
      <c r="G519" s="146" t="e">
        <f>SUM(G518:G518)</f>
        <v>#REF!</v>
      </c>
    </row>
    <row r="520" spans="2:8" x14ac:dyDescent="0.2">
      <c r="B520" s="113"/>
      <c r="C520" s="114"/>
      <c r="D520" s="114"/>
      <c r="E520" s="114"/>
      <c r="F520" s="114"/>
      <c r="G520" s="114"/>
    </row>
    <row r="521" spans="2:8" x14ac:dyDescent="0.2">
      <c r="B521" s="113"/>
      <c r="C521" s="114"/>
      <c r="D521" s="114"/>
      <c r="E521" s="114"/>
      <c r="F521" s="114"/>
      <c r="G521" s="114"/>
    </row>
    <row r="522" spans="2:8" x14ac:dyDescent="0.2">
      <c r="B522" s="207" t="s">
        <v>310</v>
      </c>
      <c r="C522" s="207" t="s">
        <v>77</v>
      </c>
      <c r="D522" s="215" t="s">
        <v>130</v>
      </c>
      <c r="E522" s="215" t="s">
        <v>129</v>
      </c>
      <c r="F522" s="215"/>
      <c r="G522" s="215" t="s">
        <v>76</v>
      </c>
    </row>
    <row r="523" spans="2:8" x14ac:dyDescent="0.2">
      <c r="B523" s="145"/>
      <c r="C523" s="265">
        <v>0</v>
      </c>
      <c r="D523" s="263">
        <f>C523*9%</f>
        <v>0</v>
      </c>
      <c r="E523" s="263">
        <f>C523*9%</f>
        <v>0</v>
      </c>
      <c r="F523" s="264"/>
      <c r="G523" s="260">
        <f>SUM(C528:F528)</f>
        <v>322784</v>
      </c>
      <c r="H523" s="287"/>
    </row>
    <row r="524" spans="2:8" x14ac:dyDescent="0.2">
      <c r="B524" s="202" t="s">
        <v>311</v>
      </c>
      <c r="C524" s="146">
        <f>SUM(C523:C523)</f>
        <v>0</v>
      </c>
      <c r="D524" s="146">
        <f>SUM(D523:D523)</f>
        <v>0</v>
      </c>
      <c r="E524" s="146">
        <f>SUM(E523:E523)</f>
        <v>0</v>
      </c>
      <c r="F524" s="146"/>
      <c r="G524" s="146">
        <f>SUM(G523:G523)</f>
        <v>322784</v>
      </c>
    </row>
    <row r="525" spans="2:8" x14ac:dyDescent="0.2">
      <c r="B525" s="113"/>
      <c r="C525" s="114"/>
      <c r="D525" s="114"/>
      <c r="E525" s="114"/>
      <c r="F525" s="114"/>
    </row>
    <row r="526" spans="2:8" x14ac:dyDescent="0.2">
      <c r="B526" s="113"/>
      <c r="C526" s="114"/>
      <c r="D526" s="114"/>
      <c r="E526" s="114"/>
      <c r="F526" s="114"/>
    </row>
    <row r="527" spans="2:8" x14ac:dyDescent="0.2">
      <c r="B527" s="335" t="s">
        <v>312</v>
      </c>
      <c r="C527" s="207" t="s">
        <v>77</v>
      </c>
      <c r="D527" s="215" t="s">
        <v>130</v>
      </c>
      <c r="E527" s="215" t="s">
        <v>129</v>
      </c>
      <c r="F527" s="215"/>
      <c r="G527" s="182" t="s">
        <v>76</v>
      </c>
    </row>
    <row r="528" spans="2:8" ht="15" x14ac:dyDescent="0.25">
      <c r="B528" s="273" t="s">
        <v>515</v>
      </c>
      <c r="C528" s="260">
        <v>288200</v>
      </c>
      <c r="D528" s="395">
        <f>C528*6%</f>
        <v>17292</v>
      </c>
      <c r="E528" s="395">
        <f>C528*6%</f>
        <v>17292</v>
      </c>
      <c r="F528" s="264"/>
      <c r="G528" s="130"/>
      <c r="H528" s="287"/>
    </row>
    <row r="529" spans="2:8" x14ac:dyDescent="0.2">
      <c r="B529" s="207" t="s">
        <v>313</v>
      </c>
      <c r="C529" s="146">
        <f>SUM(C528:C528)</f>
        <v>288200</v>
      </c>
      <c r="D529" s="146">
        <f>SUM(D528:D528)</f>
        <v>17292</v>
      </c>
      <c r="E529" s="146">
        <f>SUM(E528:E528)</f>
        <v>17292</v>
      </c>
      <c r="F529" s="146"/>
      <c r="G529" s="146">
        <f>SUM(G528:G528)</f>
        <v>0</v>
      </c>
    </row>
    <row r="530" spans="2:8" x14ac:dyDescent="0.2">
      <c r="B530" s="113"/>
      <c r="C530" s="114"/>
      <c r="D530" s="114"/>
      <c r="E530" s="114"/>
      <c r="F530" s="114"/>
    </row>
    <row r="532" spans="2:8" x14ac:dyDescent="0.2">
      <c r="B532" s="332" t="s">
        <v>314</v>
      </c>
      <c r="C532" s="215" t="s">
        <v>77</v>
      </c>
      <c r="D532" s="182" t="s">
        <v>130</v>
      </c>
      <c r="E532" s="182" t="s">
        <v>129</v>
      </c>
      <c r="F532" s="182"/>
      <c r="G532" s="182" t="s">
        <v>76</v>
      </c>
    </row>
    <row r="533" spans="2:8" x14ac:dyDescent="0.2">
      <c r="B533" s="132"/>
      <c r="C533" s="303"/>
      <c r="D533" s="303">
        <f>C533*9%</f>
        <v>0</v>
      </c>
      <c r="E533" s="291">
        <f>C533*9%</f>
        <v>0</v>
      </c>
      <c r="F533" s="291"/>
      <c r="G533" s="130"/>
      <c r="H533" s="287"/>
    </row>
    <row r="534" spans="2:8" x14ac:dyDescent="0.2">
      <c r="B534" s="182" t="s">
        <v>315</v>
      </c>
      <c r="C534" s="34">
        <f>SUM(C533:C533)</f>
        <v>0</v>
      </c>
      <c r="D534" s="34">
        <f>SUM(D533:D533)</f>
        <v>0</v>
      </c>
      <c r="E534" s="34">
        <f>SUM(E533:E533)</f>
        <v>0</v>
      </c>
      <c r="F534" s="34"/>
      <c r="G534" s="34">
        <f>SUM(G533:G533)</f>
        <v>0</v>
      </c>
    </row>
    <row r="535" spans="2:8" x14ac:dyDescent="0.2">
      <c r="B535" s="57"/>
      <c r="C535" s="36"/>
      <c r="D535" s="36"/>
      <c r="E535" s="36"/>
      <c r="F535" s="36"/>
    </row>
    <row r="537" spans="2:8" x14ac:dyDescent="0.2">
      <c r="B537" s="332" t="s">
        <v>316</v>
      </c>
      <c r="C537" s="215" t="s">
        <v>77</v>
      </c>
      <c r="D537" s="182" t="s">
        <v>130</v>
      </c>
      <c r="E537" s="182" t="s">
        <v>129</v>
      </c>
      <c r="F537" s="182"/>
      <c r="G537" s="215" t="s">
        <v>76</v>
      </c>
    </row>
    <row r="538" spans="2:8" x14ac:dyDescent="0.2">
      <c r="B538" s="132"/>
      <c r="C538" s="261"/>
      <c r="D538" s="263">
        <f>C538*9%</f>
        <v>0</v>
      </c>
      <c r="E538" s="263">
        <f>C538*9%</f>
        <v>0</v>
      </c>
      <c r="F538" s="264"/>
      <c r="G538" s="132"/>
      <c r="H538" s="287"/>
    </row>
    <row r="539" spans="2:8" ht="15" x14ac:dyDescent="0.25">
      <c r="B539" s="132" t="s">
        <v>385</v>
      </c>
      <c r="C539" s="273">
        <v>71808</v>
      </c>
      <c r="D539" s="261">
        <v>4308.4799999999996</v>
      </c>
      <c r="E539" s="261">
        <v>4308.4799999999996</v>
      </c>
      <c r="F539" s="264"/>
      <c r="G539" s="136">
        <f>SUM(C539:F539)</f>
        <v>80424.959999999992</v>
      </c>
      <c r="H539" s="287"/>
    </row>
    <row r="540" spans="2:8" ht="15" x14ac:dyDescent="0.25">
      <c r="B540" s="132" t="s">
        <v>420</v>
      </c>
      <c r="C540" s="273">
        <v>128568</v>
      </c>
      <c r="D540" s="261">
        <v>7714.08</v>
      </c>
      <c r="E540" s="261">
        <v>7714.08</v>
      </c>
      <c r="F540" s="264"/>
      <c r="G540" s="136">
        <f>SUM(C540:F540)</f>
        <v>143996.15999999997</v>
      </c>
      <c r="H540" s="287"/>
    </row>
    <row r="541" spans="2:8" ht="15" x14ac:dyDescent="0.25">
      <c r="B541" s="132" t="s">
        <v>439</v>
      </c>
      <c r="C541" s="273">
        <v>728860</v>
      </c>
      <c r="D541" s="261">
        <f>C541*0.06</f>
        <v>43731.6</v>
      </c>
      <c r="E541" s="261">
        <f>C541*0.06</f>
        <v>43731.6</v>
      </c>
      <c r="F541" s="264"/>
      <c r="G541" s="136">
        <f>SUM(C541:F541)</f>
        <v>816323.2</v>
      </c>
      <c r="H541" s="287"/>
    </row>
    <row r="542" spans="2:8" ht="15" x14ac:dyDescent="0.25">
      <c r="B542" s="132"/>
      <c r="C542" s="273"/>
      <c r="D542" s="261"/>
      <c r="E542" s="261"/>
      <c r="F542" s="264"/>
      <c r="G542" s="136"/>
      <c r="H542" s="287"/>
    </row>
    <row r="543" spans="2:8" x14ac:dyDescent="0.2">
      <c r="B543" s="182" t="s">
        <v>317</v>
      </c>
      <c r="C543" s="131">
        <f>SUM(C538:C542)</f>
        <v>929236</v>
      </c>
      <c r="D543" s="131">
        <f>SUM(D538:D542)</f>
        <v>55754.159999999996</v>
      </c>
      <c r="E543" s="131">
        <f>SUM(E538:E542)</f>
        <v>55754.159999999996</v>
      </c>
      <c r="F543" s="131"/>
      <c r="G543" s="131">
        <f>SUM(G538:G542)</f>
        <v>1040744.32</v>
      </c>
    </row>
    <row r="544" spans="2:8" x14ac:dyDescent="0.2">
      <c r="B544" s="78"/>
      <c r="C544" s="67"/>
      <c r="D544" s="67"/>
      <c r="E544" s="67"/>
      <c r="F544" s="67"/>
    </row>
    <row r="545" spans="2:8" x14ac:dyDescent="0.2">
      <c r="D545" s="65"/>
    </row>
    <row r="546" spans="2:8" x14ac:dyDescent="0.2">
      <c r="B546" s="332" t="s">
        <v>318</v>
      </c>
      <c r="C546" s="215" t="s">
        <v>77</v>
      </c>
      <c r="D546" s="182" t="s">
        <v>130</v>
      </c>
      <c r="E546" s="182" t="s">
        <v>129</v>
      </c>
      <c r="F546" s="182"/>
      <c r="G546" s="207" t="s">
        <v>76</v>
      </c>
    </row>
    <row r="547" spans="2:8" ht="15" x14ac:dyDescent="0.25">
      <c r="B547" s="313" t="s">
        <v>478</v>
      </c>
      <c r="C547" s="385">
        <v>6004609.29</v>
      </c>
      <c r="D547" s="386">
        <f>C547*0.06</f>
        <v>360276.55739999999</v>
      </c>
      <c r="E547" s="386">
        <f>C547*0.06</f>
        <v>360276.55739999999</v>
      </c>
      <c r="F547" s="291"/>
      <c r="G547" s="291">
        <f>SUM(C547:F547)</f>
        <v>6725162.4048000006</v>
      </c>
      <c r="H547" s="287"/>
    </row>
    <row r="548" spans="2:8" ht="15" x14ac:dyDescent="0.25">
      <c r="B548" s="313"/>
      <c r="C548" s="385"/>
      <c r="D548" s="386"/>
      <c r="E548" s="386"/>
      <c r="F548" s="291"/>
      <c r="G548" s="291">
        <f>SUM(C548:F548)</f>
        <v>0</v>
      </c>
      <c r="H548" s="287"/>
    </row>
    <row r="549" spans="2:8" x14ac:dyDescent="0.2">
      <c r="B549" s="182" t="s">
        <v>319</v>
      </c>
      <c r="C549" s="131">
        <f>SUM(C547:C548)</f>
        <v>6004609.29</v>
      </c>
      <c r="D549" s="131">
        <f>SUM(D547:D548)</f>
        <v>360276.55739999999</v>
      </c>
      <c r="E549" s="131">
        <f>SUM(E547:E548)</f>
        <v>360276.55739999999</v>
      </c>
      <c r="F549" s="131"/>
      <c r="G549" s="131">
        <f>SUM(G547:G548)</f>
        <v>6725162.4048000006</v>
      </c>
    </row>
    <row r="550" spans="2:8" x14ac:dyDescent="0.2">
      <c r="B550" s="78"/>
      <c r="C550" s="67"/>
      <c r="D550" s="67"/>
      <c r="E550" s="67"/>
      <c r="F550" s="67"/>
    </row>
    <row r="551" spans="2:8" x14ac:dyDescent="0.2">
      <c r="B551" s="78"/>
      <c r="C551" s="67"/>
      <c r="D551" s="67"/>
      <c r="E551" s="67"/>
      <c r="F551" s="67"/>
    </row>
    <row r="552" spans="2:8" x14ac:dyDescent="0.2">
      <c r="B552" s="182" t="s">
        <v>320</v>
      </c>
      <c r="C552" s="215" t="s">
        <v>77</v>
      </c>
      <c r="D552" s="182" t="s">
        <v>130</v>
      </c>
      <c r="E552" s="182" t="s">
        <v>129</v>
      </c>
      <c r="F552" s="182"/>
      <c r="G552" s="207" t="s">
        <v>76</v>
      </c>
    </row>
    <row r="553" spans="2:8" ht="15" x14ac:dyDescent="0.25">
      <c r="B553" s="313"/>
      <c r="C553" s="385"/>
      <c r="D553" s="386"/>
      <c r="E553" s="386"/>
      <c r="F553" s="291"/>
      <c r="G553" s="291"/>
    </row>
    <row r="554" spans="2:8" ht="15" x14ac:dyDescent="0.25">
      <c r="B554" s="313"/>
      <c r="C554" s="385"/>
      <c r="D554" s="386"/>
      <c r="E554" s="386"/>
      <c r="F554" s="291"/>
      <c r="G554" s="291">
        <f>SUM(C554:F554)</f>
        <v>0</v>
      </c>
    </row>
    <row r="555" spans="2:8" x14ac:dyDescent="0.2">
      <c r="B555" s="182" t="s">
        <v>321</v>
      </c>
      <c r="C555" s="131">
        <f>SUM(C553:C554)</f>
        <v>0</v>
      </c>
      <c r="D555" s="131">
        <f>SUM(D553:D554)</f>
        <v>0</v>
      </c>
      <c r="E555" s="131">
        <f>SUM(E553:E554)</f>
        <v>0</v>
      </c>
      <c r="F555" s="131"/>
      <c r="G555" s="131">
        <f>SUM(G553:G554)</f>
        <v>0</v>
      </c>
    </row>
    <row r="556" spans="2:8" x14ac:dyDescent="0.2">
      <c r="B556" s="203"/>
      <c r="C556" s="67"/>
      <c r="D556" s="67"/>
      <c r="E556" s="67"/>
      <c r="F556" s="67"/>
    </row>
    <row r="557" spans="2:8" ht="15" x14ac:dyDescent="0.25">
      <c r="C557" s="129"/>
      <c r="D557" s="126"/>
      <c r="E557" s="126"/>
      <c r="F557" s="124"/>
    </row>
    <row r="558" spans="2:8" x14ac:dyDescent="0.2">
      <c r="B558" s="332" t="s">
        <v>322</v>
      </c>
      <c r="C558" s="215" t="s">
        <v>77</v>
      </c>
      <c r="D558" s="182" t="s">
        <v>130</v>
      </c>
      <c r="E558" s="182" t="s">
        <v>129</v>
      </c>
      <c r="F558" s="182"/>
      <c r="G558" s="207" t="s">
        <v>76</v>
      </c>
    </row>
    <row r="559" spans="2:8" x14ac:dyDescent="0.2">
      <c r="B559" s="132"/>
      <c r="C559" s="303"/>
      <c r="D559" s="303">
        <f>C559*0.06</f>
        <v>0</v>
      </c>
      <c r="E559" s="303">
        <f>C559*0.06</f>
        <v>0</v>
      </c>
      <c r="F559" s="291"/>
      <c r="G559" s="303">
        <f>C559+D559+E559</f>
        <v>0</v>
      </c>
      <c r="H559" s="287"/>
    </row>
    <row r="560" spans="2:8" x14ac:dyDescent="0.2">
      <c r="B560" s="132" t="s">
        <v>457</v>
      </c>
      <c r="C560" s="303">
        <v>1338567.6000000001</v>
      </c>
      <c r="D560" s="303">
        <v>80314.055999999997</v>
      </c>
      <c r="E560" s="303">
        <v>80314.055999999997</v>
      </c>
      <c r="F560" s="291"/>
      <c r="G560" s="303">
        <f>SUM(C560:F560)</f>
        <v>1499195.7120000003</v>
      </c>
      <c r="H560" s="287"/>
    </row>
    <row r="561" spans="2:7" x14ac:dyDescent="0.2">
      <c r="B561" s="182" t="s">
        <v>323</v>
      </c>
      <c r="C561" s="131">
        <f>SUM(C559:C560)</f>
        <v>1338567.6000000001</v>
      </c>
      <c r="D561" s="131">
        <f>SUM(D559:D560)</f>
        <v>80314.055999999997</v>
      </c>
      <c r="E561" s="131">
        <f>SUM(E559:E560)</f>
        <v>80314.055999999997</v>
      </c>
      <c r="F561" s="131"/>
      <c r="G561" s="131">
        <f>SUM(G559:G560)</f>
        <v>1499195.7120000003</v>
      </c>
    </row>
    <row r="562" spans="2:7" ht="15" x14ac:dyDescent="0.25">
      <c r="B562" s="125"/>
      <c r="C562" s="126"/>
      <c r="D562" s="126"/>
      <c r="E562" s="126"/>
      <c r="F562" s="124"/>
    </row>
    <row r="563" spans="2:7" ht="15" x14ac:dyDescent="0.25">
      <c r="B563" s="125"/>
      <c r="C563" s="126"/>
      <c r="D563" s="126"/>
      <c r="E563" s="126"/>
      <c r="F563" s="124"/>
    </row>
    <row r="564" spans="2:7" ht="15" x14ac:dyDescent="0.25">
      <c r="B564" s="125"/>
      <c r="C564" s="126"/>
      <c r="D564" s="126"/>
      <c r="E564" s="126"/>
      <c r="F564" s="124"/>
    </row>
    <row r="565" spans="2:7" ht="15" x14ac:dyDescent="0.25">
      <c r="B565" s="125"/>
      <c r="C565" s="126"/>
      <c r="D565" s="126"/>
      <c r="E565" s="126"/>
      <c r="F565" s="124"/>
    </row>
    <row r="566" spans="2:7" ht="15" x14ac:dyDescent="0.25">
      <c r="B566" s="125"/>
      <c r="C566" s="126"/>
      <c r="D566" s="126"/>
      <c r="E566" s="126"/>
      <c r="F566" s="124"/>
    </row>
    <row r="567" spans="2:7" ht="15" x14ac:dyDescent="0.25">
      <c r="B567" s="125"/>
      <c r="C567" s="126"/>
      <c r="D567" s="126"/>
      <c r="E567" s="126"/>
      <c r="F567" s="124"/>
    </row>
    <row r="568" spans="2:7" ht="15" x14ac:dyDescent="0.25">
      <c r="B568" s="125"/>
      <c r="C568" s="126"/>
      <c r="D568" s="126"/>
      <c r="E568" s="126"/>
      <c r="F568" s="124"/>
    </row>
    <row r="569" spans="2:7" ht="15" x14ac:dyDescent="0.25">
      <c r="B569" s="125"/>
      <c r="C569" s="126"/>
      <c r="D569" s="126"/>
      <c r="E569" s="126"/>
      <c r="F569" s="124"/>
    </row>
    <row r="570" spans="2:7" ht="15" x14ac:dyDescent="0.25">
      <c r="B570" s="125"/>
      <c r="C570" s="126"/>
      <c r="D570" s="126"/>
      <c r="E570" s="126"/>
      <c r="F570" s="124"/>
    </row>
    <row r="571" spans="2:7" ht="15" x14ac:dyDescent="0.25">
      <c r="B571" s="125"/>
      <c r="C571" s="126"/>
      <c r="D571" s="126"/>
      <c r="E571" s="126"/>
      <c r="F571" s="124"/>
    </row>
    <row r="572" spans="2:7" ht="15" x14ac:dyDescent="0.25">
      <c r="B572" s="125"/>
      <c r="C572" s="126"/>
      <c r="D572" s="126"/>
      <c r="E572" s="126"/>
      <c r="F572" s="124"/>
    </row>
    <row r="573" spans="2:7" ht="15" x14ac:dyDescent="0.25">
      <c r="B573" s="125"/>
      <c r="C573" s="126"/>
      <c r="D573" s="126"/>
      <c r="E573" s="126"/>
      <c r="F573" s="124"/>
    </row>
    <row r="574" spans="2:7" ht="15" x14ac:dyDescent="0.25">
      <c r="B574" s="125"/>
      <c r="C574" s="126"/>
      <c r="D574" s="126"/>
      <c r="E574" s="126"/>
      <c r="F574" s="124"/>
    </row>
    <row r="575" spans="2:7" ht="15" x14ac:dyDescent="0.25">
      <c r="B575" s="125"/>
      <c r="C575" s="126"/>
      <c r="D575" s="126"/>
      <c r="E575" s="126"/>
      <c r="F575" s="124"/>
    </row>
    <row r="576" spans="2:7" ht="15" x14ac:dyDescent="0.25">
      <c r="B576" s="125"/>
      <c r="C576" s="126"/>
      <c r="D576" s="126"/>
      <c r="E576" s="126"/>
      <c r="F576" s="124"/>
    </row>
    <row r="577" spans="2:7" ht="15" x14ac:dyDescent="0.25">
      <c r="B577" s="125"/>
      <c r="C577" s="126"/>
      <c r="D577" s="126"/>
      <c r="E577" s="126"/>
      <c r="F577" s="124"/>
    </row>
    <row r="578" spans="2:7" ht="15" x14ac:dyDescent="0.25">
      <c r="B578" s="125"/>
      <c r="C578" s="126"/>
      <c r="D578" s="126"/>
      <c r="E578" s="126"/>
      <c r="F578" s="124"/>
    </row>
    <row r="579" spans="2:7" ht="15" x14ac:dyDescent="0.25">
      <c r="B579" s="125"/>
      <c r="C579" s="126"/>
      <c r="D579" s="126"/>
      <c r="E579" s="126"/>
      <c r="F579" s="124"/>
    </row>
    <row r="580" spans="2:7" ht="15" x14ac:dyDescent="0.25">
      <c r="B580" s="125"/>
      <c r="C580" s="126"/>
      <c r="D580" s="126"/>
      <c r="E580" s="126"/>
      <c r="F580" s="124"/>
    </row>
    <row r="581" spans="2:7" ht="15" x14ac:dyDescent="0.25">
      <c r="B581" s="125"/>
      <c r="C581" s="126"/>
      <c r="D581" s="126"/>
      <c r="E581" s="126"/>
      <c r="F581" s="124"/>
    </row>
    <row r="582" spans="2:7" ht="15" x14ac:dyDescent="0.25">
      <c r="B582" s="125"/>
      <c r="C582" s="126"/>
      <c r="D582" s="126"/>
      <c r="E582" s="126"/>
      <c r="F582" s="124"/>
    </row>
    <row r="583" spans="2:7" ht="15" x14ac:dyDescent="0.25">
      <c r="B583" s="125"/>
      <c r="C583" s="126"/>
      <c r="D583" s="126"/>
      <c r="E583" s="126"/>
      <c r="F583" s="124"/>
    </row>
    <row r="584" spans="2:7" ht="15" x14ac:dyDescent="0.25">
      <c r="B584" s="125"/>
      <c r="C584" s="126"/>
      <c r="D584" s="126"/>
      <c r="E584" s="126"/>
      <c r="F584" s="124"/>
    </row>
    <row r="585" spans="2:7" ht="15" x14ac:dyDescent="0.25">
      <c r="B585" s="125"/>
      <c r="C585" s="126"/>
      <c r="D585" s="126"/>
      <c r="E585" s="126"/>
      <c r="F585" s="124"/>
      <c r="G585" s="82"/>
    </row>
    <row r="586" spans="2:7" ht="15" x14ac:dyDescent="0.25">
      <c r="B586" s="125"/>
      <c r="C586" s="126"/>
      <c r="D586" s="126"/>
      <c r="E586" s="126"/>
      <c r="F586" s="124"/>
      <c r="G586" s="82"/>
    </row>
    <row r="587" spans="2:7" ht="15" x14ac:dyDescent="0.25">
      <c r="B587" s="125"/>
      <c r="C587" s="126"/>
      <c r="D587" s="126"/>
      <c r="E587" s="126"/>
      <c r="F587" s="124"/>
    </row>
    <row r="588" spans="2:7" ht="15" x14ac:dyDescent="0.25">
      <c r="B588" s="125"/>
      <c r="C588" s="126"/>
      <c r="D588" s="126"/>
      <c r="E588" s="126"/>
      <c r="F588" s="124"/>
    </row>
    <row r="589" spans="2:7" ht="15" x14ac:dyDescent="0.25">
      <c r="B589" s="127"/>
      <c r="C589" s="128"/>
      <c r="D589" s="128"/>
      <c r="E589" s="128"/>
      <c r="F589" s="124"/>
    </row>
    <row r="590" spans="2:7" ht="15" x14ac:dyDescent="0.25">
      <c r="B590" s="127"/>
      <c r="C590" s="128"/>
      <c r="D590" s="128"/>
      <c r="E590" s="128"/>
      <c r="F590" s="57"/>
    </row>
    <row r="591" spans="2:7" ht="15" x14ac:dyDescent="0.25">
      <c r="B591" s="125"/>
      <c r="C591" s="126"/>
      <c r="D591" s="126"/>
      <c r="E591" s="126"/>
      <c r="F591" s="57"/>
    </row>
    <row r="592" spans="2:7" ht="15" x14ac:dyDescent="0.25">
      <c r="B592" s="125"/>
      <c r="C592" s="83"/>
      <c r="D592" s="83"/>
      <c r="E592" s="83"/>
      <c r="F592" s="124"/>
    </row>
    <row r="593" spans="2:7" ht="15" x14ac:dyDescent="0.25">
      <c r="B593" s="125"/>
      <c r="C593" s="83"/>
      <c r="D593" s="83"/>
      <c r="E593" s="83"/>
      <c r="F593" s="124"/>
      <c r="G593" s="80"/>
    </row>
    <row r="594" spans="2:7" ht="15" x14ac:dyDescent="0.25">
      <c r="B594" s="125"/>
      <c r="C594" s="83"/>
      <c r="D594" s="83"/>
      <c r="E594" s="83"/>
      <c r="F594" s="124"/>
    </row>
    <row r="595" spans="2:7" ht="15" x14ac:dyDescent="0.25">
      <c r="B595" s="125"/>
      <c r="C595" s="126"/>
      <c r="D595" s="126"/>
      <c r="E595" s="126"/>
      <c r="F595" s="124"/>
    </row>
    <row r="596" spans="2:7" ht="15" x14ac:dyDescent="0.25">
      <c r="B596" s="127"/>
      <c r="C596" s="128"/>
      <c r="D596" s="128"/>
      <c r="E596" s="128"/>
      <c r="F596" s="128"/>
    </row>
    <row r="597" spans="2:7" ht="15" x14ac:dyDescent="0.25">
      <c r="B597" s="127"/>
      <c r="C597" s="128"/>
      <c r="D597" s="128"/>
      <c r="E597" s="128"/>
      <c r="F597" s="57"/>
    </row>
    <row r="598" spans="2:7" ht="15" x14ac:dyDescent="0.25">
      <c r="B598" s="127"/>
      <c r="C598" s="128"/>
      <c r="D598" s="128"/>
      <c r="E598" s="128"/>
      <c r="F598" s="128"/>
    </row>
    <row r="599" spans="2:7" x14ac:dyDescent="0.2">
      <c r="B599" s="57"/>
      <c r="C599" s="36"/>
      <c r="D599" s="57"/>
      <c r="E599" s="57"/>
      <c r="F599" s="57"/>
    </row>
    <row r="600" spans="2:7" x14ac:dyDescent="0.2">
      <c r="B600" s="57"/>
      <c r="C600" s="57"/>
      <c r="D600" s="57"/>
      <c r="E600" s="57"/>
      <c r="F600" s="57"/>
    </row>
    <row r="601" spans="2:7" x14ac:dyDescent="0.2">
      <c r="B601" s="57"/>
      <c r="C601" s="36"/>
      <c r="D601" s="57"/>
      <c r="E601" s="57"/>
      <c r="F601" s="57"/>
    </row>
    <row r="602" spans="2:7" x14ac:dyDescent="0.2">
      <c r="B602" s="57"/>
      <c r="C602" s="36"/>
      <c r="D602" s="57"/>
      <c r="E602" s="57"/>
      <c r="F602" s="57"/>
    </row>
    <row r="603" spans="2:7" x14ac:dyDescent="0.2">
      <c r="B603" s="57"/>
      <c r="C603" s="36"/>
      <c r="D603" s="57"/>
      <c r="E603" s="57"/>
      <c r="F603" s="57"/>
    </row>
    <row r="604" spans="2:7" x14ac:dyDescent="0.2">
      <c r="B604" s="57"/>
      <c r="C604" s="36"/>
      <c r="D604" s="57"/>
      <c r="E604" s="57"/>
      <c r="F604" s="57"/>
    </row>
    <row r="605" spans="2:7" x14ac:dyDescent="0.2">
      <c r="B605" s="57"/>
      <c r="C605" s="36"/>
      <c r="D605" s="57"/>
      <c r="E605" s="57"/>
      <c r="F605" s="57"/>
    </row>
    <row r="606" spans="2:7" x14ac:dyDescent="0.2">
      <c r="B606" s="57"/>
      <c r="C606" s="36"/>
      <c r="D606" s="57"/>
      <c r="E606" s="57"/>
      <c r="F606" s="57"/>
    </row>
    <row r="607" spans="2:7" x14ac:dyDescent="0.2">
      <c r="B607" s="57"/>
      <c r="C607" s="36"/>
      <c r="D607" s="57"/>
      <c r="E607" s="57"/>
      <c r="F607" s="57"/>
    </row>
    <row r="608" spans="2:7" x14ac:dyDescent="0.2">
      <c r="B608" s="57"/>
      <c r="C608" s="36"/>
      <c r="D608" s="57"/>
      <c r="E608" s="57"/>
      <c r="F608" s="57"/>
    </row>
    <row r="609" spans="2:6" x14ac:dyDescent="0.2">
      <c r="B609" s="57"/>
      <c r="C609" s="36"/>
      <c r="D609" s="57"/>
      <c r="E609" s="57"/>
      <c r="F609" s="57"/>
    </row>
    <row r="610" spans="2:6" x14ac:dyDescent="0.2">
      <c r="B610" s="57"/>
      <c r="C610" s="36"/>
      <c r="D610" s="57"/>
      <c r="E610" s="57"/>
      <c r="F610" s="57"/>
    </row>
    <row r="611" spans="2:6" x14ac:dyDescent="0.2">
      <c r="B611" s="57"/>
      <c r="C611" s="36"/>
      <c r="D611" s="57"/>
      <c r="E611" s="57"/>
      <c r="F611" s="57"/>
    </row>
    <row r="612" spans="2:6" x14ac:dyDescent="0.2">
      <c r="B612" s="57"/>
      <c r="C612" s="36"/>
      <c r="D612" s="57"/>
      <c r="E612" s="57"/>
      <c r="F612" s="57"/>
    </row>
    <row r="613" spans="2:6" x14ac:dyDescent="0.2">
      <c r="B613" s="57"/>
      <c r="C613" s="36"/>
      <c r="D613" s="57"/>
      <c r="E613" s="57"/>
      <c r="F613" s="57"/>
    </row>
    <row r="614" spans="2:6" x14ac:dyDescent="0.2">
      <c r="B614" s="57"/>
      <c r="C614" s="36"/>
      <c r="D614" s="57"/>
      <c r="E614" s="57"/>
      <c r="F614" s="57"/>
    </row>
    <row r="615" spans="2:6" x14ac:dyDescent="0.2">
      <c r="B615" s="57"/>
      <c r="C615" s="36"/>
      <c r="D615" s="57"/>
      <c r="E615" s="57"/>
      <c r="F615" s="57"/>
    </row>
    <row r="616" spans="2:6" x14ac:dyDescent="0.2">
      <c r="B616" s="57"/>
      <c r="C616" s="36"/>
      <c r="D616" s="57"/>
      <c r="E616" s="57"/>
      <c r="F616" s="57"/>
    </row>
    <row r="617" spans="2:6" x14ac:dyDescent="0.2">
      <c r="B617" s="57"/>
      <c r="C617" s="36"/>
      <c r="D617" s="57"/>
      <c r="E617" s="57"/>
      <c r="F617" s="57"/>
    </row>
    <row r="618" spans="2:6" x14ac:dyDescent="0.2">
      <c r="B618" s="57"/>
      <c r="C618" s="36"/>
      <c r="D618" s="57"/>
      <c r="E618" s="57"/>
      <c r="F618" s="57"/>
    </row>
    <row r="619" spans="2:6" x14ac:dyDescent="0.2">
      <c r="B619" s="57"/>
      <c r="C619" s="36"/>
      <c r="D619" s="57"/>
      <c r="E619" s="57"/>
      <c r="F619" s="57"/>
    </row>
    <row r="620" spans="2:6" x14ac:dyDescent="0.2">
      <c r="B620" s="57"/>
      <c r="C620" s="36"/>
      <c r="D620" s="57"/>
      <c r="E620" s="57"/>
      <c r="F620" s="57"/>
    </row>
  </sheetData>
  <mergeCells count="9">
    <mergeCell ref="C133:F133"/>
    <mergeCell ref="C141:F141"/>
    <mergeCell ref="C150:F150"/>
    <mergeCell ref="C227:F227"/>
    <mergeCell ref="C69:G69"/>
    <mergeCell ref="C83:G83"/>
    <mergeCell ref="C100:F100"/>
    <mergeCell ref="C108:F108"/>
    <mergeCell ref="C119:F119"/>
  </mergeCells>
  <pageMargins left="0.74803149606299213" right="0.74803149606299213" top="0.98425196850393704" bottom="0.98425196850393704" header="0.51181102362204722" footer="0.51181102362204722"/>
  <pageSetup scale="14" orientation="portrait" horizontalDpi="4294967295" verticalDpi="4294967295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I68"/>
  <sheetViews>
    <sheetView workbookViewId="0">
      <selection activeCell="H15" sqref="H15"/>
    </sheetView>
  </sheetViews>
  <sheetFormatPr defaultRowHeight="15" x14ac:dyDescent="0.25"/>
  <cols>
    <col min="1" max="1" width="5.28515625" customWidth="1"/>
    <col min="2" max="2" width="30.140625" bestFit="1" customWidth="1"/>
    <col min="3" max="3" width="34" customWidth="1"/>
  </cols>
  <sheetData>
    <row r="1" spans="1:9" ht="30" customHeight="1" x14ac:dyDescent="0.25">
      <c r="A1" s="170" t="s">
        <v>22</v>
      </c>
      <c r="B1" s="170" t="s">
        <v>150</v>
      </c>
      <c r="C1" s="171" t="s">
        <v>182</v>
      </c>
    </row>
    <row r="2" spans="1:9" x14ac:dyDescent="0.25">
      <c r="A2" s="172">
        <v>1111</v>
      </c>
      <c r="B2" s="172" t="str">
        <f>VLOOKUP(A2,Provision!B4:E79,4,0)</f>
        <v>TSPDL-HR</v>
      </c>
      <c r="C2" s="172"/>
    </row>
    <row r="3" spans="1:9" x14ac:dyDescent="0.25">
      <c r="A3" s="172">
        <v>1161</v>
      </c>
      <c r="B3" s="172" t="str">
        <f>VLOOKUP(A3,Provision!B5:E81,4,0)</f>
        <v>TSPDL-BARA</v>
      </c>
      <c r="C3" s="172"/>
    </row>
    <row r="4" spans="1:9" x14ac:dyDescent="0.25">
      <c r="A4" s="172">
        <v>1162</v>
      </c>
      <c r="B4" s="172" t="str">
        <f>VLOOKUP(A4,Provision!B6:E82,4,0)</f>
        <v>TSPDL-BARA-TUBES</v>
      </c>
      <c r="C4" s="172"/>
    </row>
    <row r="5" spans="1:9" x14ac:dyDescent="0.25">
      <c r="A5" s="172">
        <v>1163</v>
      </c>
      <c r="B5" s="172" t="str">
        <f>VLOOKUP(A5,Provision!B7:E83,4,0)</f>
        <v>BMW IND. -GAM</v>
      </c>
      <c r="C5" s="172"/>
    </row>
    <row r="6" spans="1:9" x14ac:dyDescent="0.25">
      <c r="A6" s="172">
        <v>1164</v>
      </c>
      <c r="B6" s="172" t="str">
        <f>VLOOKUP(A6,Provision!B8:E83,4,0)</f>
        <v>BMW IND. -GAM-TUBES</v>
      </c>
      <c r="C6" s="172"/>
    </row>
    <row r="7" spans="1:9" x14ac:dyDescent="0.25">
      <c r="A7" s="172">
        <v>1174</v>
      </c>
      <c r="B7" s="172" t="str">
        <f>VLOOKUP(A7,Provision!B9:E83,4,0)</f>
        <v>TSPDL Tubes</v>
      </c>
      <c r="C7" s="172"/>
    </row>
    <row r="8" spans="1:9" x14ac:dyDescent="0.25">
      <c r="A8" s="172">
        <v>1160</v>
      </c>
      <c r="B8" s="172" t="str">
        <f>VLOOKUP(A8,Provision!B10:E83,4,0)</f>
        <v>Nippon Cryo</v>
      </c>
      <c r="C8" s="172"/>
    </row>
    <row r="9" spans="1:9" x14ac:dyDescent="0.25">
      <c r="A9" s="172">
        <v>1167</v>
      </c>
      <c r="B9" s="172" t="str">
        <f>VLOOKUP(A9,Provision!B11:E83,4,0)</f>
        <v>BMW</v>
      </c>
      <c r="C9" s="172"/>
    </row>
    <row r="10" spans="1:9" x14ac:dyDescent="0.25">
      <c r="A10" s="172">
        <v>1182</v>
      </c>
      <c r="B10" s="172" t="str">
        <f>VLOOKUP(A10,Provision!B12:E83,4,0)</f>
        <v>BMW manifit for CGL#3</v>
      </c>
      <c r="C10" s="172"/>
      <c r="H10" t="s">
        <v>187</v>
      </c>
    </row>
    <row r="11" spans="1:9" x14ac:dyDescent="0.25">
      <c r="A11" s="172">
        <v>3154</v>
      </c>
      <c r="B11" s="172" t="str">
        <f>VLOOKUP(A11,Provision!B13:E83,4,0)</f>
        <v>HEMNIL METAL</v>
      </c>
      <c r="C11" s="172"/>
      <c r="H11" t="s">
        <v>188</v>
      </c>
    </row>
    <row r="12" spans="1:9" x14ac:dyDescent="0.25">
      <c r="A12" s="172">
        <v>3155</v>
      </c>
      <c r="B12" s="172" t="str">
        <f>VLOOKUP(A12,Provision!B14:E83,4,0)</f>
        <v>TSDPL</v>
      </c>
      <c r="C12" s="172"/>
      <c r="H12" t="s">
        <v>189</v>
      </c>
      <c r="I12" t="s">
        <v>192</v>
      </c>
    </row>
    <row r="13" spans="1:9" x14ac:dyDescent="0.25">
      <c r="A13" s="172">
        <v>1113</v>
      </c>
      <c r="B13" s="172" t="str">
        <f>VLOOKUP(A13,Provision!B15:E83,4,0)</f>
        <v>BMW JSR</v>
      </c>
      <c r="C13" s="172"/>
      <c r="H13" t="s">
        <v>190</v>
      </c>
    </row>
    <row r="14" spans="1:9" x14ac:dyDescent="0.25">
      <c r="A14" s="172">
        <v>1172</v>
      </c>
      <c r="B14" s="172" t="str">
        <f>VLOOKUP(A14,Provision!B16:E83,4,0)</f>
        <v>CAPL</v>
      </c>
      <c r="C14" s="172"/>
      <c r="H14" t="s">
        <v>191</v>
      </c>
    </row>
    <row r="15" spans="1:9" x14ac:dyDescent="0.25">
      <c r="A15" s="172">
        <v>1180</v>
      </c>
      <c r="B15" s="172" t="str">
        <f>VLOOKUP(A15,Provision!B17:E83,4,0)</f>
        <v>CAPL Non mfg</v>
      </c>
      <c r="C15" s="172"/>
    </row>
    <row r="16" spans="1:9" x14ac:dyDescent="0.25">
      <c r="A16" s="172">
        <v>1179</v>
      </c>
      <c r="B16" s="172" t="str">
        <f>VLOOKUP(A16,Provision!B18:E83,4,0)</f>
        <v>TSPDL (for JCAPCPL)</v>
      </c>
      <c r="C16" s="172"/>
    </row>
    <row r="17" spans="1:3" x14ac:dyDescent="0.25">
      <c r="A17" s="172">
        <v>4328</v>
      </c>
      <c r="B17" s="172" t="str">
        <f>VLOOKUP(A17,Provision!B19:E83,4,0)</f>
        <v>TSPDL Chennai</v>
      </c>
      <c r="C17" s="172"/>
    </row>
    <row r="18" spans="1:3" x14ac:dyDescent="0.25">
      <c r="A18" s="172">
        <v>1121</v>
      </c>
      <c r="B18" s="172" t="str">
        <f>VLOOKUP(A18,Provision!B20:E83,4,0)</f>
        <v>TSPDLCR</v>
      </c>
      <c r="C18" s="172"/>
    </row>
    <row r="19" spans="1:3" x14ac:dyDescent="0.25">
      <c r="A19" s="172">
        <v>1133</v>
      </c>
      <c r="B19" s="172" t="str">
        <f>VLOOKUP(A19,Provision!B21:E83,4,0)</f>
        <v>TSPDL HR TUB</v>
      </c>
      <c r="C19" s="172"/>
    </row>
    <row r="20" spans="1:3" x14ac:dyDescent="0.25">
      <c r="A20" s="172">
        <v>1134</v>
      </c>
      <c r="B20" s="172" t="str">
        <f>VLOOKUP(A20,Provision!B22:E83,4,0)</f>
        <v>TSPDL CR TUB</v>
      </c>
      <c r="C20" s="172"/>
    </row>
    <row r="21" spans="1:3" x14ac:dyDescent="0.25">
      <c r="A21" s="172">
        <v>1135</v>
      </c>
      <c r="B21" s="172" t="str">
        <f>VLOOKUP(A21,Provision!B23:E83,4,0)</f>
        <v>BMW TUB</v>
      </c>
      <c r="C21" s="172"/>
    </row>
    <row r="22" spans="1:3" x14ac:dyDescent="0.25">
      <c r="A22" s="172">
        <v>1140</v>
      </c>
      <c r="B22" s="172" t="str">
        <f>VLOOKUP(A22,Provision!B24:E83,4,0)</f>
        <v>BMW GAMAHARIA</v>
      </c>
      <c r="C22" s="172"/>
    </row>
    <row r="23" spans="1:3" x14ac:dyDescent="0.25">
      <c r="A23" s="172">
        <v>1141</v>
      </c>
      <c r="B23" s="172" t="str">
        <f>VLOOKUP(A23,Provision!B25:E83,4,0)</f>
        <v>BMW GAMAHARIA</v>
      </c>
      <c r="C23" s="172"/>
    </row>
    <row r="24" spans="1:3" x14ac:dyDescent="0.25">
      <c r="A24" s="172">
        <v>2218</v>
      </c>
      <c r="B24" s="172" t="str">
        <f>VLOOKUP(A24,Provision!B26:E83,4,0)</f>
        <v>TSPDL FARIDABAD</v>
      </c>
      <c r="C24" s="172"/>
    </row>
    <row r="25" spans="1:3" x14ac:dyDescent="0.25">
      <c r="A25" s="172">
        <v>2223</v>
      </c>
      <c r="B25" s="172" t="str">
        <f>VLOOKUP(A25,Provision!B27:E83,4,0)</f>
        <v>ALIIED METAL,FARIDABAD - LEPA</v>
      </c>
      <c r="C25" s="172"/>
    </row>
    <row r="26" spans="1:3" x14ac:dyDescent="0.25">
      <c r="A26" s="172">
        <v>2264</v>
      </c>
      <c r="B26" s="172" t="str">
        <f>VLOOKUP(A26,Provision!B28:E83,4,0)</f>
        <v>ALLIED FI-TECH IND-III TSL EPA</v>
      </c>
      <c r="C26" s="172"/>
    </row>
    <row r="27" spans="1:3" x14ac:dyDescent="0.25">
      <c r="A27" s="172">
        <v>3112</v>
      </c>
      <c r="B27" s="172" t="str">
        <f>VLOOKUP(A27,Provision!B29:E83,4,0)</f>
        <v>Hemnil - Pune, LEPA</v>
      </c>
      <c r="C27" s="172"/>
    </row>
    <row r="28" spans="1:3" x14ac:dyDescent="0.25">
      <c r="A28" s="172">
        <v>3119</v>
      </c>
      <c r="B28" s="172" t="str">
        <f>VLOOKUP(A28,Provision!B30:E83,4,0)</f>
        <v>Poshs Metal Industries Pvt.Ltd</v>
      </c>
      <c r="C28" s="172"/>
    </row>
    <row r="29" spans="1:3" x14ac:dyDescent="0.25">
      <c r="A29" s="172">
        <v>1279</v>
      </c>
      <c r="B29" s="172" t="str">
        <f>VLOOKUP(A29,Provision!B31:E83,4,0)</f>
        <v xml:space="preserve">TSPDL HR </v>
      </c>
      <c r="C29" s="172"/>
    </row>
    <row r="30" spans="1:3" x14ac:dyDescent="0.25">
      <c r="A30" s="172">
        <v>3131</v>
      </c>
      <c r="B30" s="172" t="str">
        <f>VLOOKUP(A30,Provision!B32:E83,4,0)</f>
        <v>Tata Ryerson - Pune (LEPA)</v>
      </c>
      <c r="C30" s="172"/>
    </row>
    <row r="31" spans="1:3" x14ac:dyDescent="0.25">
      <c r="A31" s="172">
        <v>4315</v>
      </c>
      <c r="B31" s="172" t="str">
        <f>VLOOKUP(A31,Provision!B33:E83,4,0)</f>
        <v>POS-HYUNDAI STEEL P.LTD - LEPA</v>
      </c>
      <c r="C31" s="172"/>
    </row>
    <row r="32" spans="1:3" x14ac:dyDescent="0.25">
      <c r="A32" s="172">
        <v>3151</v>
      </c>
      <c r="B32" s="172" t="str">
        <f>VLOOKUP(A32,Provision!B34:E83,4,0)</f>
        <v>TSPDL- Pune</v>
      </c>
      <c r="C32" s="172"/>
    </row>
    <row r="33" spans="1:3" x14ac:dyDescent="0.25">
      <c r="A33" s="172">
        <v>1258</v>
      </c>
      <c r="B33" s="172" t="str">
        <f>VLOOKUP(A33,Provision!B35:E83,4,0)</f>
        <v>BMW INDUSTRIES LTD.(UNIT-VI)B</v>
      </c>
      <c r="C33" s="172"/>
    </row>
    <row r="34" spans="1:3" x14ac:dyDescent="0.25">
      <c r="A34" s="172">
        <v>2242</v>
      </c>
      <c r="B34" s="172" t="str">
        <f>VLOOKUP(A34,Provision!B36:E83,4,0)</f>
        <v>ALLIED FI-TECH IND-III TSL EPA</v>
      </c>
      <c r="C34" s="172"/>
    </row>
    <row r="35" spans="1:3" x14ac:dyDescent="0.25">
      <c r="A35" s="172">
        <v>2248</v>
      </c>
      <c r="B35" s="172" t="str">
        <f>VLOOKUP(A35,Provision!B37:E83,4,0)</f>
        <v>ALLIED HI-TECH IND-III TSL EPA</v>
      </c>
      <c r="C35" s="172"/>
    </row>
    <row r="36" spans="1:3" x14ac:dyDescent="0.25">
      <c r="A36" s="172">
        <v>2243</v>
      </c>
      <c r="B36" s="172" t="str">
        <f>VLOOKUP(A36,Provision!B38:E83,4,0)</f>
        <v>Allied Strips</v>
      </c>
      <c r="C36" s="172"/>
    </row>
    <row r="37" spans="1:3" x14ac:dyDescent="0.25">
      <c r="A37" s="172">
        <v>2241</v>
      </c>
      <c r="B37" s="172" t="str">
        <f>VLOOKUP(A37,Provision!B39:E83,4,0)</f>
        <v>ALLIED FI-TECH IND-II TSL EPA</v>
      </c>
      <c r="C37" s="172"/>
    </row>
    <row r="38" spans="1:3" x14ac:dyDescent="0.25">
      <c r="A38" s="172">
        <v>1169</v>
      </c>
      <c r="B38" s="172" t="str">
        <f>VLOOKUP(A38,Provision!B40:E83,4,0)</f>
        <v>TSPDL DEMAG Slitter</v>
      </c>
      <c r="C38" s="172"/>
    </row>
    <row r="39" spans="1:3" x14ac:dyDescent="0.25">
      <c r="A39" s="172">
        <v>3148</v>
      </c>
      <c r="B39" s="172" t="str">
        <f>VLOOKUP(A39,Provision!B41:E83,4,0)</f>
        <v>SKM Metal Processors</v>
      </c>
      <c r="C39" s="172"/>
    </row>
    <row r="40" spans="1:3" x14ac:dyDescent="0.25">
      <c r="A40" s="172">
        <v>1213</v>
      </c>
      <c r="B40" s="172" t="str">
        <f>VLOOKUP(A40,Provision!B42:E83,4,0)</f>
        <v>BMW-KOLKATA</v>
      </c>
      <c r="C40" s="172"/>
    </row>
    <row r="41" spans="1:3" x14ac:dyDescent="0.25">
      <c r="A41" s="172">
        <v>1187</v>
      </c>
      <c r="B41" s="172" t="str">
        <f>VLOOKUP(A41,Provision!B43:E83,4,0)</f>
        <v>BMW manifit for CAPL</v>
      </c>
      <c r="C41" s="172"/>
    </row>
    <row r="42" spans="1:3" x14ac:dyDescent="0.25">
      <c r="A42" s="172">
        <v>3220</v>
      </c>
      <c r="B42" s="172" t="str">
        <f>VLOOKUP(A42,Provision!B44:E83,4,0)</f>
        <v>TSPDL Pune for CAPL</v>
      </c>
      <c r="C42" s="172"/>
    </row>
    <row r="43" spans="1:3" x14ac:dyDescent="0.25">
      <c r="A43" s="172">
        <v>1188</v>
      </c>
      <c r="B43" s="172" t="str">
        <f>VLOOKUP(A43,Provision!B45:E83,4,0)</f>
        <v>TSPDL</v>
      </c>
      <c r="C43" s="172"/>
    </row>
    <row r="44" spans="1:3" x14ac:dyDescent="0.25">
      <c r="A44" s="172">
        <v>1267</v>
      </c>
      <c r="B44" s="172" t="str">
        <f>VLOOKUP(A44,Provision!B46:E83,4,0)</f>
        <v>TSPDL Bara for CGL#3</v>
      </c>
      <c r="C44" s="172"/>
    </row>
    <row r="45" spans="1:3" x14ac:dyDescent="0.25">
      <c r="A45" s="172">
        <v>2277</v>
      </c>
      <c r="B45" s="172" t="str">
        <f>VLOOKUP(A45,Provision!B47:E83,4,0)</f>
        <v>Allied Hi-tech</v>
      </c>
      <c r="C45" s="172"/>
    </row>
    <row r="46" spans="1:3" x14ac:dyDescent="0.25">
      <c r="A46" s="172">
        <v>2239</v>
      </c>
      <c r="B46" s="172" t="str">
        <f>VLOOKUP(A46,Provision!B48:E83,4,0)</f>
        <v>TSPDL FARIDABAD</v>
      </c>
      <c r="C46" s="172"/>
    </row>
    <row r="47" spans="1:3" x14ac:dyDescent="0.25">
      <c r="A47" s="172">
        <v>1295</v>
      </c>
      <c r="B47" s="172" t="str">
        <f>VLOOKUP(A47,Provision!B49:E83,4,0)</f>
        <v>Sandhu Tubes</v>
      </c>
      <c r="C47" s="172"/>
    </row>
    <row r="48" spans="1:3" x14ac:dyDescent="0.25">
      <c r="A48" s="172">
        <v>2025</v>
      </c>
      <c r="B48" s="172" t="str">
        <f>VLOOKUP(A48,Provision!B50:E83,4,0)</f>
        <v>RCS STEEL AND AUTO PRIVATE LIM</v>
      </c>
      <c r="C48" s="172" t="s">
        <v>184</v>
      </c>
    </row>
    <row r="49" spans="1:3" x14ac:dyDescent="0.25">
      <c r="A49" s="172">
        <v>1291</v>
      </c>
      <c r="B49" s="172" t="str">
        <f>VLOOKUP(A49,Provision!B51:E83,4,0)</f>
        <v>PSPL STEEL PROCESSORS</v>
      </c>
      <c r="C49" s="172" t="s">
        <v>183</v>
      </c>
    </row>
    <row r="50" spans="1:3" x14ac:dyDescent="0.25">
      <c r="A50" s="172">
        <v>1192</v>
      </c>
      <c r="B50" s="172" t="str">
        <f>VLOOKUP(A50,Provision!B52:E83,4,0)</f>
        <v xml:space="preserve">Sanfab </v>
      </c>
      <c r="C50" s="172"/>
    </row>
    <row r="51" spans="1:3" x14ac:dyDescent="0.25">
      <c r="A51" s="172">
        <v>1171</v>
      </c>
      <c r="B51" s="172" t="str">
        <f>VLOOKUP(A51,Provision!B53:E83,4,0)</f>
        <v>BMW</v>
      </c>
      <c r="C51" s="172"/>
    </row>
    <row r="52" spans="1:3" x14ac:dyDescent="0.25">
      <c r="A52" s="173">
        <v>2111</v>
      </c>
      <c r="B52" s="172" t="str">
        <f>VLOOKUP(A52,Provision!B54:E83,4,0)</f>
        <v>Jagan Nath &amp; Sons</v>
      </c>
      <c r="C52" s="172"/>
    </row>
    <row r="53" spans="1:3" x14ac:dyDescent="0.25">
      <c r="A53" s="172">
        <v>1116</v>
      </c>
      <c r="B53" s="172" t="e">
        <f>VLOOKUP(A53,Provision!B63:E83,4,0)</f>
        <v>#N/A</v>
      </c>
      <c r="C53" s="172"/>
    </row>
    <row r="54" spans="1:3" x14ac:dyDescent="0.25">
      <c r="A54" s="172">
        <v>1184</v>
      </c>
      <c r="B54" s="172" t="e">
        <f>VLOOKUP(A54,Provision!B64:E83,4,0)</f>
        <v>#N/A</v>
      </c>
      <c r="C54" s="172"/>
    </row>
    <row r="55" spans="1:3" x14ac:dyDescent="0.25">
      <c r="A55" s="172">
        <v>1254</v>
      </c>
      <c r="B55" s="172" t="e">
        <f>VLOOKUP(A55,Provision!B65:E83,4,0)</f>
        <v>#N/A</v>
      </c>
      <c r="C55" s="172"/>
    </row>
    <row r="56" spans="1:3" x14ac:dyDescent="0.25">
      <c r="A56" s="172">
        <v>1129</v>
      </c>
      <c r="B56" s="172" t="e">
        <f>VLOOKUP(A56,Provision!B66:E83,4,0)</f>
        <v>#N/A</v>
      </c>
      <c r="C56" s="172"/>
    </row>
    <row r="57" spans="1:3" x14ac:dyDescent="0.25">
      <c r="A57" s="172">
        <v>3138</v>
      </c>
      <c r="B57" s="172" t="e">
        <f>VLOOKUP(A57,Provision!B67:E83,4,0)</f>
        <v>#N/A</v>
      </c>
      <c r="C57" s="172"/>
    </row>
    <row r="58" spans="1:3" x14ac:dyDescent="0.25">
      <c r="A58" s="172">
        <v>3411</v>
      </c>
      <c r="B58" s="172" t="e">
        <f>VLOOKUP(A58,Provision!B68:E83,4,0)</f>
        <v>#N/A</v>
      </c>
      <c r="C58" s="172"/>
    </row>
    <row r="59" spans="1:3" x14ac:dyDescent="0.25">
      <c r="A59" s="172">
        <v>1228</v>
      </c>
      <c r="B59" s="172" t="e">
        <f>VLOOKUP(A59,Provision!B69:E83,4,0)</f>
        <v>#N/A</v>
      </c>
      <c r="C59" s="172"/>
    </row>
    <row r="60" spans="1:3" x14ac:dyDescent="0.25">
      <c r="A60" s="172">
        <v>1253</v>
      </c>
      <c r="B60" s="172" t="e">
        <f>VLOOKUP(A60,Provision!B70:E83,4,0)</f>
        <v>#N/A</v>
      </c>
      <c r="C60" s="172"/>
    </row>
    <row r="61" spans="1:3" x14ac:dyDescent="0.25">
      <c r="A61" s="172">
        <v>3448</v>
      </c>
      <c r="B61" s="172" t="e">
        <f>VLOOKUP(A61,Provision!B71:E83,4,0)</f>
        <v>#N/A</v>
      </c>
      <c r="C61" s="172"/>
    </row>
    <row r="62" spans="1:3" x14ac:dyDescent="0.25">
      <c r="A62" s="172">
        <v>4641</v>
      </c>
      <c r="B62" s="172" t="e">
        <f>VLOOKUP(A62,Provision!B72:E83,4,0)</f>
        <v>#N/A</v>
      </c>
      <c r="C62" s="172"/>
    </row>
    <row r="63" spans="1:3" x14ac:dyDescent="0.25">
      <c r="A63" s="172">
        <v>4134</v>
      </c>
      <c r="B63" s="172" t="e">
        <f>VLOOKUP(A63,Provision!B73:E83,4,0)</f>
        <v>#N/A</v>
      </c>
      <c r="C63" s="172"/>
    </row>
    <row r="64" spans="1:3" x14ac:dyDescent="0.25">
      <c r="A64" s="172">
        <v>4131</v>
      </c>
      <c r="B64" s="172" t="e">
        <f>VLOOKUP(A64,Provision!B74:E83,4,0)</f>
        <v>#N/A</v>
      </c>
      <c r="C64" s="172"/>
    </row>
    <row r="65" spans="1:3" x14ac:dyDescent="0.25">
      <c r="A65" s="172">
        <v>2217</v>
      </c>
      <c r="B65" s="172" t="e">
        <f>VLOOKUP(A65,Provision!B75:E83,4,0)</f>
        <v>#N/A</v>
      </c>
      <c r="C65" s="172"/>
    </row>
    <row r="66" spans="1:3" x14ac:dyDescent="0.25">
      <c r="A66" s="172">
        <v>4423</v>
      </c>
      <c r="B66" s="172" t="e">
        <f>VLOOKUP(A66,Provision!B76:E83,4,0)</f>
        <v>#N/A</v>
      </c>
      <c r="C66" s="172"/>
    </row>
    <row r="67" spans="1:3" x14ac:dyDescent="0.25">
      <c r="A67" s="172">
        <v>2026</v>
      </c>
      <c r="B67" s="172" t="e">
        <f>VLOOKUP(A67,Provision!B77:E83,4,0)</f>
        <v>#N/A</v>
      </c>
      <c r="C67" s="172"/>
    </row>
    <row r="68" spans="1:3" x14ac:dyDescent="0.25">
      <c r="A68" s="172">
        <v>3445</v>
      </c>
      <c r="B68" s="172" t="e">
        <f>VLOOKUP(A68,Provision!B78:E83,4,0)</f>
        <v>#N/A</v>
      </c>
      <c r="C68" s="17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I135"/>
  <sheetViews>
    <sheetView topLeftCell="A16" workbookViewId="0">
      <selection activeCell="C21" sqref="C21"/>
    </sheetView>
  </sheetViews>
  <sheetFormatPr defaultRowHeight="15" x14ac:dyDescent="0.25"/>
  <cols>
    <col min="1" max="1" width="36.7109375" bestFit="1" customWidth="1"/>
    <col min="2" max="2" width="12.7109375" bestFit="1" customWidth="1"/>
    <col min="3" max="3" width="14.7109375" bestFit="1" customWidth="1"/>
    <col min="4" max="4" width="5.5703125" customWidth="1"/>
    <col min="5" max="5" width="8" customWidth="1"/>
    <col min="6" max="6" width="29.85546875" customWidth="1"/>
    <col min="7" max="7" width="12" bestFit="1" customWidth="1"/>
    <col min="10" max="10" width="6" customWidth="1"/>
    <col min="12" max="12" width="15.5703125" customWidth="1"/>
    <col min="13" max="13" width="30.85546875" bestFit="1" customWidth="1"/>
  </cols>
  <sheetData>
    <row r="1" spans="1:7" x14ac:dyDescent="0.25">
      <c r="C1" s="163"/>
    </row>
    <row r="2" spans="1:7" ht="17.25" x14ac:dyDescent="0.25">
      <c r="A2" t="s">
        <v>159</v>
      </c>
      <c r="B2">
        <v>48029517</v>
      </c>
      <c r="G2" s="123">
        <v>48023642</v>
      </c>
    </row>
    <row r="3" spans="1:7" ht="17.25" x14ac:dyDescent="0.25">
      <c r="A3" t="s">
        <v>169</v>
      </c>
      <c r="B3" s="123">
        <v>48029902</v>
      </c>
      <c r="F3" t="s">
        <v>193</v>
      </c>
      <c r="G3" s="123">
        <v>48022895</v>
      </c>
    </row>
    <row r="4" spans="1:7" ht="17.25" x14ac:dyDescent="0.25">
      <c r="A4" t="s">
        <v>169</v>
      </c>
      <c r="B4" s="123">
        <v>48029905</v>
      </c>
      <c r="F4" t="s">
        <v>194</v>
      </c>
      <c r="G4" s="123">
        <v>48022898</v>
      </c>
    </row>
    <row r="5" spans="1:7" ht="17.25" x14ac:dyDescent="0.25">
      <c r="A5" t="s">
        <v>165</v>
      </c>
      <c r="B5">
        <v>48029520</v>
      </c>
      <c r="F5" t="s">
        <v>195</v>
      </c>
      <c r="G5" s="123">
        <v>48023635</v>
      </c>
    </row>
    <row r="6" spans="1:7" ht="17.25" x14ac:dyDescent="0.25">
      <c r="G6" s="123">
        <v>48023702</v>
      </c>
    </row>
    <row r="7" spans="1:7" ht="17.25" x14ac:dyDescent="0.25">
      <c r="B7" s="123"/>
    </row>
    <row r="8" spans="1:7" x14ac:dyDescent="0.25">
      <c r="A8" t="s">
        <v>170</v>
      </c>
      <c r="B8">
        <v>48023662</v>
      </c>
      <c r="E8" s="158"/>
    </row>
    <row r="9" spans="1:7" x14ac:dyDescent="0.25">
      <c r="A9" t="s">
        <v>171</v>
      </c>
      <c r="B9">
        <v>48023663</v>
      </c>
      <c r="E9" s="158"/>
    </row>
    <row r="10" spans="1:7" x14ac:dyDescent="0.25">
      <c r="A10" t="s">
        <v>172</v>
      </c>
      <c r="B10">
        <v>48023664</v>
      </c>
      <c r="E10" s="158"/>
    </row>
    <row r="11" spans="1:7" x14ac:dyDescent="0.25">
      <c r="A11" t="s">
        <v>173</v>
      </c>
      <c r="B11">
        <v>48023665</v>
      </c>
      <c r="E11" s="159"/>
    </row>
    <row r="12" spans="1:7" x14ac:dyDescent="0.25">
      <c r="A12" t="s">
        <v>174</v>
      </c>
      <c r="B12">
        <v>48023666</v>
      </c>
      <c r="E12" s="159"/>
    </row>
    <row r="13" spans="1:7" x14ac:dyDescent="0.25">
      <c r="A13" t="s">
        <v>175</v>
      </c>
      <c r="B13">
        <v>48023667</v>
      </c>
      <c r="E13" s="158"/>
    </row>
    <row r="14" spans="1:7" x14ac:dyDescent="0.25">
      <c r="A14" t="s">
        <v>176</v>
      </c>
      <c r="B14">
        <v>48023668</v>
      </c>
      <c r="E14" s="158"/>
    </row>
    <row r="15" spans="1:7" ht="17.25" x14ac:dyDescent="0.25">
      <c r="A15" t="s">
        <v>177</v>
      </c>
      <c r="B15">
        <v>48023669</v>
      </c>
      <c r="D15" s="123"/>
      <c r="E15" s="158"/>
    </row>
    <row r="17" spans="1:6" x14ac:dyDescent="0.25">
      <c r="F17" t="s">
        <v>196</v>
      </c>
    </row>
    <row r="18" spans="1:6" x14ac:dyDescent="0.25">
      <c r="C18">
        <v>2223</v>
      </c>
      <c r="F18" t="s">
        <v>197</v>
      </c>
    </row>
    <row r="19" spans="1:6" x14ac:dyDescent="0.25">
      <c r="C19">
        <v>1258</v>
      </c>
      <c r="F19" t="s">
        <v>198</v>
      </c>
    </row>
    <row r="20" spans="1:6" x14ac:dyDescent="0.25">
      <c r="C20">
        <v>1171</v>
      </c>
      <c r="F20" t="s">
        <v>199</v>
      </c>
    </row>
    <row r="21" spans="1:6" x14ac:dyDescent="0.25">
      <c r="A21" t="s">
        <v>202</v>
      </c>
      <c r="F21" t="s">
        <v>200</v>
      </c>
    </row>
    <row r="22" spans="1:6" x14ac:dyDescent="0.25">
      <c r="A22" s="164">
        <v>1161</v>
      </c>
      <c r="F22" t="s">
        <v>201</v>
      </c>
    </row>
    <row r="23" spans="1:6" x14ac:dyDescent="0.25">
      <c r="A23" s="164">
        <v>1162</v>
      </c>
    </row>
    <row r="24" spans="1:6" x14ac:dyDescent="0.25">
      <c r="A24" s="175">
        <v>1182</v>
      </c>
    </row>
    <row r="25" spans="1:6" x14ac:dyDescent="0.25">
      <c r="A25" s="164">
        <v>1180</v>
      </c>
    </row>
    <row r="26" spans="1:6" x14ac:dyDescent="0.25">
      <c r="A26" s="164">
        <v>1140</v>
      </c>
    </row>
    <row r="27" spans="1:6" x14ac:dyDescent="0.25">
      <c r="A27" s="164">
        <v>1141</v>
      </c>
    </row>
    <row r="28" spans="1:6" x14ac:dyDescent="0.25">
      <c r="A28" s="68">
        <v>2223</v>
      </c>
    </row>
    <row r="29" spans="1:6" x14ac:dyDescent="0.25">
      <c r="A29" s="68">
        <v>1258</v>
      </c>
    </row>
    <row r="30" spans="1:6" x14ac:dyDescent="0.25">
      <c r="A30" s="164">
        <v>2243</v>
      </c>
    </row>
    <row r="31" spans="1:6" x14ac:dyDescent="0.25">
      <c r="A31" s="164">
        <v>2241</v>
      </c>
    </row>
    <row r="32" spans="1:6" x14ac:dyDescent="0.25">
      <c r="A32" s="168">
        <v>1213</v>
      </c>
    </row>
    <row r="33" spans="1:1" x14ac:dyDescent="0.25">
      <c r="A33" s="176">
        <v>1187</v>
      </c>
    </row>
    <row r="34" spans="1:1" x14ac:dyDescent="0.25">
      <c r="A34" s="164">
        <v>2239</v>
      </c>
    </row>
    <row r="35" spans="1:1" x14ac:dyDescent="0.25">
      <c r="A35" s="104">
        <v>1171</v>
      </c>
    </row>
    <row r="36" spans="1:1" x14ac:dyDescent="0.25">
      <c r="A36" s="104">
        <v>3448</v>
      </c>
    </row>
    <row r="37" spans="1:1" x14ac:dyDescent="0.25">
      <c r="A37" s="104">
        <v>4641</v>
      </c>
    </row>
    <row r="38" spans="1:1" x14ac:dyDescent="0.25">
      <c r="A38" s="104">
        <v>2217</v>
      </c>
    </row>
    <row r="39" spans="1:1" x14ac:dyDescent="0.25">
      <c r="A39" s="104">
        <v>4423</v>
      </c>
    </row>
    <row r="40" spans="1:1" x14ac:dyDescent="0.25">
      <c r="A40" s="104">
        <v>2026</v>
      </c>
    </row>
    <row r="41" spans="1:1" x14ac:dyDescent="0.25">
      <c r="A41" s="104">
        <v>3445</v>
      </c>
    </row>
    <row r="135" spans="9:9" x14ac:dyDescent="0.25">
      <c r="I135" t="e">
        <f>C135/H135</f>
        <v>#DIV/0!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J59"/>
  <sheetViews>
    <sheetView showGridLines="0" workbookViewId="0"/>
  </sheetViews>
  <sheetFormatPr defaultRowHeight="12.75" x14ac:dyDescent="0.2"/>
  <cols>
    <col min="1" max="1" width="9.140625" style="3"/>
    <col min="2" max="2" width="11.28515625" style="38" customWidth="1"/>
    <col min="3" max="3" width="31.140625" style="3" bestFit="1" customWidth="1"/>
    <col min="4" max="4" width="31.7109375" style="3" hidden="1" customWidth="1"/>
    <col min="5" max="5" width="31.7109375" style="3" customWidth="1"/>
    <col min="6" max="7" width="15.140625" style="3" bestFit="1" customWidth="1"/>
    <col min="8" max="8" width="15.140625" style="3" customWidth="1"/>
    <col min="9" max="9" width="13.7109375" style="3" bestFit="1" customWidth="1"/>
    <col min="10" max="10" width="9.140625" style="12"/>
    <col min="11" max="248" width="9.140625" style="3"/>
    <col min="249" max="249" width="11.28515625" style="3" customWidth="1"/>
    <col min="250" max="250" width="31.140625" style="3" bestFit="1" customWidth="1"/>
    <col min="251" max="251" width="0" style="3" hidden="1" customWidth="1"/>
    <col min="252" max="252" width="14.140625" style="3" bestFit="1" customWidth="1"/>
    <col min="253" max="256" width="18" style="3" customWidth="1"/>
    <col min="257" max="258" width="0" style="3" hidden="1" customWidth="1"/>
    <col min="259" max="259" width="5" style="3" bestFit="1" customWidth="1"/>
    <col min="260" max="260" width="14.7109375" style="3" bestFit="1" customWidth="1"/>
    <col min="261" max="261" width="13.7109375" style="3" bestFit="1" customWidth="1"/>
    <col min="262" max="504" width="9.140625" style="3"/>
    <col min="505" max="505" width="11.28515625" style="3" customWidth="1"/>
    <col min="506" max="506" width="31.140625" style="3" bestFit="1" customWidth="1"/>
    <col min="507" max="507" width="0" style="3" hidden="1" customWidth="1"/>
    <col min="508" max="508" width="14.140625" style="3" bestFit="1" customWidth="1"/>
    <col min="509" max="512" width="18" style="3" customWidth="1"/>
    <col min="513" max="514" width="0" style="3" hidden="1" customWidth="1"/>
    <col min="515" max="515" width="5" style="3" bestFit="1" customWidth="1"/>
    <col min="516" max="516" width="14.7109375" style="3" bestFit="1" customWidth="1"/>
    <col min="517" max="517" width="13.7109375" style="3" bestFit="1" customWidth="1"/>
    <col min="518" max="760" width="9.140625" style="3"/>
    <col min="761" max="761" width="11.28515625" style="3" customWidth="1"/>
    <col min="762" max="762" width="31.140625" style="3" bestFit="1" customWidth="1"/>
    <col min="763" max="763" width="0" style="3" hidden="1" customWidth="1"/>
    <col min="764" max="764" width="14.140625" style="3" bestFit="1" customWidth="1"/>
    <col min="765" max="768" width="18" style="3" customWidth="1"/>
    <col min="769" max="770" width="0" style="3" hidden="1" customWidth="1"/>
    <col min="771" max="771" width="5" style="3" bestFit="1" customWidth="1"/>
    <col min="772" max="772" width="14.7109375" style="3" bestFit="1" customWidth="1"/>
    <col min="773" max="773" width="13.7109375" style="3" bestFit="1" customWidth="1"/>
    <col min="774" max="1016" width="9.140625" style="3"/>
    <col min="1017" max="1017" width="11.28515625" style="3" customWidth="1"/>
    <col min="1018" max="1018" width="31.140625" style="3" bestFit="1" customWidth="1"/>
    <col min="1019" max="1019" width="0" style="3" hidden="1" customWidth="1"/>
    <col min="1020" max="1020" width="14.140625" style="3" bestFit="1" customWidth="1"/>
    <col min="1021" max="1024" width="18" style="3" customWidth="1"/>
    <col min="1025" max="1026" width="0" style="3" hidden="1" customWidth="1"/>
    <col min="1027" max="1027" width="5" style="3" bestFit="1" customWidth="1"/>
    <col min="1028" max="1028" width="14.7109375" style="3" bestFit="1" customWidth="1"/>
    <col min="1029" max="1029" width="13.7109375" style="3" bestFit="1" customWidth="1"/>
    <col min="1030" max="1272" width="9.140625" style="3"/>
    <col min="1273" max="1273" width="11.28515625" style="3" customWidth="1"/>
    <col min="1274" max="1274" width="31.140625" style="3" bestFit="1" customWidth="1"/>
    <col min="1275" max="1275" width="0" style="3" hidden="1" customWidth="1"/>
    <col min="1276" max="1276" width="14.140625" style="3" bestFit="1" customWidth="1"/>
    <col min="1277" max="1280" width="18" style="3" customWidth="1"/>
    <col min="1281" max="1282" width="0" style="3" hidden="1" customWidth="1"/>
    <col min="1283" max="1283" width="5" style="3" bestFit="1" customWidth="1"/>
    <col min="1284" max="1284" width="14.7109375" style="3" bestFit="1" customWidth="1"/>
    <col min="1285" max="1285" width="13.7109375" style="3" bestFit="1" customWidth="1"/>
    <col min="1286" max="1528" width="9.140625" style="3"/>
    <col min="1529" max="1529" width="11.28515625" style="3" customWidth="1"/>
    <col min="1530" max="1530" width="31.140625" style="3" bestFit="1" customWidth="1"/>
    <col min="1531" max="1531" width="0" style="3" hidden="1" customWidth="1"/>
    <col min="1532" max="1532" width="14.140625" style="3" bestFit="1" customWidth="1"/>
    <col min="1533" max="1536" width="18" style="3" customWidth="1"/>
    <col min="1537" max="1538" width="0" style="3" hidden="1" customWidth="1"/>
    <col min="1539" max="1539" width="5" style="3" bestFit="1" customWidth="1"/>
    <col min="1540" max="1540" width="14.7109375" style="3" bestFit="1" customWidth="1"/>
    <col min="1541" max="1541" width="13.7109375" style="3" bestFit="1" customWidth="1"/>
    <col min="1542" max="1784" width="9.140625" style="3"/>
    <col min="1785" max="1785" width="11.28515625" style="3" customWidth="1"/>
    <col min="1786" max="1786" width="31.140625" style="3" bestFit="1" customWidth="1"/>
    <col min="1787" max="1787" width="0" style="3" hidden="1" customWidth="1"/>
    <col min="1788" max="1788" width="14.140625" style="3" bestFit="1" customWidth="1"/>
    <col min="1789" max="1792" width="18" style="3" customWidth="1"/>
    <col min="1793" max="1794" width="0" style="3" hidden="1" customWidth="1"/>
    <col min="1795" max="1795" width="5" style="3" bestFit="1" customWidth="1"/>
    <col min="1796" max="1796" width="14.7109375" style="3" bestFit="1" customWidth="1"/>
    <col min="1797" max="1797" width="13.7109375" style="3" bestFit="1" customWidth="1"/>
    <col min="1798" max="2040" width="9.140625" style="3"/>
    <col min="2041" max="2041" width="11.28515625" style="3" customWidth="1"/>
    <col min="2042" max="2042" width="31.140625" style="3" bestFit="1" customWidth="1"/>
    <col min="2043" max="2043" width="0" style="3" hidden="1" customWidth="1"/>
    <col min="2044" max="2044" width="14.140625" style="3" bestFit="1" customWidth="1"/>
    <col min="2045" max="2048" width="18" style="3" customWidth="1"/>
    <col min="2049" max="2050" width="0" style="3" hidden="1" customWidth="1"/>
    <col min="2051" max="2051" width="5" style="3" bestFit="1" customWidth="1"/>
    <col min="2052" max="2052" width="14.7109375" style="3" bestFit="1" customWidth="1"/>
    <col min="2053" max="2053" width="13.7109375" style="3" bestFit="1" customWidth="1"/>
    <col min="2054" max="2296" width="9.140625" style="3"/>
    <col min="2297" max="2297" width="11.28515625" style="3" customWidth="1"/>
    <col min="2298" max="2298" width="31.140625" style="3" bestFit="1" customWidth="1"/>
    <col min="2299" max="2299" width="0" style="3" hidden="1" customWidth="1"/>
    <col min="2300" max="2300" width="14.140625" style="3" bestFit="1" customWidth="1"/>
    <col min="2301" max="2304" width="18" style="3" customWidth="1"/>
    <col min="2305" max="2306" width="0" style="3" hidden="1" customWidth="1"/>
    <col min="2307" max="2307" width="5" style="3" bestFit="1" customWidth="1"/>
    <col min="2308" max="2308" width="14.7109375" style="3" bestFit="1" customWidth="1"/>
    <col min="2309" max="2309" width="13.7109375" style="3" bestFit="1" customWidth="1"/>
    <col min="2310" max="2552" width="9.140625" style="3"/>
    <col min="2553" max="2553" width="11.28515625" style="3" customWidth="1"/>
    <col min="2554" max="2554" width="31.140625" style="3" bestFit="1" customWidth="1"/>
    <col min="2555" max="2555" width="0" style="3" hidden="1" customWidth="1"/>
    <col min="2556" max="2556" width="14.140625" style="3" bestFit="1" customWidth="1"/>
    <col min="2557" max="2560" width="18" style="3" customWidth="1"/>
    <col min="2561" max="2562" width="0" style="3" hidden="1" customWidth="1"/>
    <col min="2563" max="2563" width="5" style="3" bestFit="1" customWidth="1"/>
    <col min="2564" max="2564" width="14.7109375" style="3" bestFit="1" customWidth="1"/>
    <col min="2565" max="2565" width="13.7109375" style="3" bestFit="1" customWidth="1"/>
    <col min="2566" max="2808" width="9.140625" style="3"/>
    <col min="2809" max="2809" width="11.28515625" style="3" customWidth="1"/>
    <col min="2810" max="2810" width="31.140625" style="3" bestFit="1" customWidth="1"/>
    <col min="2811" max="2811" width="0" style="3" hidden="1" customWidth="1"/>
    <col min="2812" max="2812" width="14.140625" style="3" bestFit="1" customWidth="1"/>
    <col min="2813" max="2816" width="18" style="3" customWidth="1"/>
    <col min="2817" max="2818" width="0" style="3" hidden="1" customWidth="1"/>
    <col min="2819" max="2819" width="5" style="3" bestFit="1" customWidth="1"/>
    <col min="2820" max="2820" width="14.7109375" style="3" bestFit="1" customWidth="1"/>
    <col min="2821" max="2821" width="13.7109375" style="3" bestFit="1" customWidth="1"/>
    <col min="2822" max="3064" width="9.140625" style="3"/>
    <col min="3065" max="3065" width="11.28515625" style="3" customWidth="1"/>
    <col min="3066" max="3066" width="31.140625" style="3" bestFit="1" customWidth="1"/>
    <col min="3067" max="3067" width="0" style="3" hidden="1" customWidth="1"/>
    <col min="3068" max="3068" width="14.140625" style="3" bestFit="1" customWidth="1"/>
    <col min="3069" max="3072" width="18" style="3" customWidth="1"/>
    <col min="3073" max="3074" width="0" style="3" hidden="1" customWidth="1"/>
    <col min="3075" max="3075" width="5" style="3" bestFit="1" customWidth="1"/>
    <col min="3076" max="3076" width="14.7109375" style="3" bestFit="1" customWidth="1"/>
    <col min="3077" max="3077" width="13.7109375" style="3" bestFit="1" customWidth="1"/>
    <col min="3078" max="3320" width="9.140625" style="3"/>
    <col min="3321" max="3321" width="11.28515625" style="3" customWidth="1"/>
    <col min="3322" max="3322" width="31.140625" style="3" bestFit="1" customWidth="1"/>
    <col min="3323" max="3323" width="0" style="3" hidden="1" customWidth="1"/>
    <col min="3324" max="3324" width="14.140625" style="3" bestFit="1" customWidth="1"/>
    <col min="3325" max="3328" width="18" style="3" customWidth="1"/>
    <col min="3329" max="3330" width="0" style="3" hidden="1" customWidth="1"/>
    <col min="3331" max="3331" width="5" style="3" bestFit="1" customWidth="1"/>
    <col min="3332" max="3332" width="14.7109375" style="3" bestFit="1" customWidth="1"/>
    <col min="3333" max="3333" width="13.7109375" style="3" bestFit="1" customWidth="1"/>
    <col min="3334" max="3576" width="9.140625" style="3"/>
    <col min="3577" max="3577" width="11.28515625" style="3" customWidth="1"/>
    <col min="3578" max="3578" width="31.140625" style="3" bestFit="1" customWidth="1"/>
    <col min="3579" max="3579" width="0" style="3" hidden="1" customWidth="1"/>
    <col min="3580" max="3580" width="14.140625" style="3" bestFit="1" customWidth="1"/>
    <col min="3581" max="3584" width="18" style="3" customWidth="1"/>
    <col min="3585" max="3586" width="0" style="3" hidden="1" customWidth="1"/>
    <col min="3587" max="3587" width="5" style="3" bestFit="1" customWidth="1"/>
    <col min="3588" max="3588" width="14.7109375" style="3" bestFit="1" customWidth="1"/>
    <col min="3589" max="3589" width="13.7109375" style="3" bestFit="1" customWidth="1"/>
    <col min="3590" max="3832" width="9.140625" style="3"/>
    <col min="3833" max="3833" width="11.28515625" style="3" customWidth="1"/>
    <col min="3834" max="3834" width="31.140625" style="3" bestFit="1" customWidth="1"/>
    <col min="3835" max="3835" width="0" style="3" hidden="1" customWidth="1"/>
    <col min="3836" max="3836" width="14.140625" style="3" bestFit="1" customWidth="1"/>
    <col min="3837" max="3840" width="18" style="3" customWidth="1"/>
    <col min="3841" max="3842" width="0" style="3" hidden="1" customWidth="1"/>
    <col min="3843" max="3843" width="5" style="3" bestFit="1" customWidth="1"/>
    <col min="3844" max="3844" width="14.7109375" style="3" bestFit="1" customWidth="1"/>
    <col min="3845" max="3845" width="13.7109375" style="3" bestFit="1" customWidth="1"/>
    <col min="3846" max="4088" width="9.140625" style="3"/>
    <col min="4089" max="4089" width="11.28515625" style="3" customWidth="1"/>
    <col min="4090" max="4090" width="31.140625" style="3" bestFit="1" customWidth="1"/>
    <col min="4091" max="4091" width="0" style="3" hidden="1" customWidth="1"/>
    <col min="4092" max="4092" width="14.140625" style="3" bestFit="1" customWidth="1"/>
    <col min="4093" max="4096" width="18" style="3" customWidth="1"/>
    <col min="4097" max="4098" width="0" style="3" hidden="1" customWidth="1"/>
    <col min="4099" max="4099" width="5" style="3" bestFit="1" customWidth="1"/>
    <col min="4100" max="4100" width="14.7109375" style="3" bestFit="1" customWidth="1"/>
    <col min="4101" max="4101" width="13.7109375" style="3" bestFit="1" customWidth="1"/>
    <col min="4102" max="4344" width="9.140625" style="3"/>
    <col min="4345" max="4345" width="11.28515625" style="3" customWidth="1"/>
    <col min="4346" max="4346" width="31.140625" style="3" bestFit="1" customWidth="1"/>
    <col min="4347" max="4347" width="0" style="3" hidden="1" customWidth="1"/>
    <col min="4348" max="4348" width="14.140625" style="3" bestFit="1" customWidth="1"/>
    <col min="4349" max="4352" width="18" style="3" customWidth="1"/>
    <col min="4353" max="4354" width="0" style="3" hidden="1" customWidth="1"/>
    <col min="4355" max="4355" width="5" style="3" bestFit="1" customWidth="1"/>
    <col min="4356" max="4356" width="14.7109375" style="3" bestFit="1" customWidth="1"/>
    <col min="4357" max="4357" width="13.7109375" style="3" bestFit="1" customWidth="1"/>
    <col min="4358" max="4600" width="9.140625" style="3"/>
    <col min="4601" max="4601" width="11.28515625" style="3" customWidth="1"/>
    <col min="4602" max="4602" width="31.140625" style="3" bestFit="1" customWidth="1"/>
    <col min="4603" max="4603" width="0" style="3" hidden="1" customWidth="1"/>
    <col min="4604" max="4604" width="14.140625" style="3" bestFit="1" customWidth="1"/>
    <col min="4605" max="4608" width="18" style="3" customWidth="1"/>
    <col min="4609" max="4610" width="0" style="3" hidden="1" customWidth="1"/>
    <col min="4611" max="4611" width="5" style="3" bestFit="1" customWidth="1"/>
    <col min="4612" max="4612" width="14.7109375" style="3" bestFit="1" customWidth="1"/>
    <col min="4613" max="4613" width="13.7109375" style="3" bestFit="1" customWidth="1"/>
    <col min="4614" max="4856" width="9.140625" style="3"/>
    <col min="4857" max="4857" width="11.28515625" style="3" customWidth="1"/>
    <col min="4858" max="4858" width="31.140625" style="3" bestFit="1" customWidth="1"/>
    <col min="4859" max="4859" width="0" style="3" hidden="1" customWidth="1"/>
    <col min="4860" max="4860" width="14.140625" style="3" bestFit="1" customWidth="1"/>
    <col min="4861" max="4864" width="18" style="3" customWidth="1"/>
    <col min="4865" max="4866" width="0" style="3" hidden="1" customWidth="1"/>
    <col min="4867" max="4867" width="5" style="3" bestFit="1" customWidth="1"/>
    <col min="4868" max="4868" width="14.7109375" style="3" bestFit="1" customWidth="1"/>
    <col min="4869" max="4869" width="13.7109375" style="3" bestFit="1" customWidth="1"/>
    <col min="4870" max="5112" width="9.140625" style="3"/>
    <col min="5113" max="5113" width="11.28515625" style="3" customWidth="1"/>
    <col min="5114" max="5114" width="31.140625" style="3" bestFit="1" customWidth="1"/>
    <col min="5115" max="5115" width="0" style="3" hidden="1" customWidth="1"/>
    <col min="5116" max="5116" width="14.140625" style="3" bestFit="1" customWidth="1"/>
    <col min="5117" max="5120" width="18" style="3" customWidth="1"/>
    <col min="5121" max="5122" width="0" style="3" hidden="1" customWidth="1"/>
    <col min="5123" max="5123" width="5" style="3" bestFit="1" customWidth="1"/>
    <col min="5124" max="5124" width="14.7109375" style="3" bestFit="1" customWidth="1"/>
    <col min="5125" max="5125" width="13.7109375" style="3" bestFit="1" customWidth="1"/>
    <col min="5126" max="5368" width="9.140625" style="3"/>
    <col min="5369" max="5369" width="11.28515625" style="3" customWidth="1"/>
    <col min="5370" max="5370" width="31.140625" style="3" bestFit="1" customWidth="1"/>
    <col min="5371" max="5371" width="0" style="3" hidden="1" customWidth="1"/>
    <col min="5372" max="5372" width="14.140625" style="3" bestFit="1" customWidth="1"/>
    <col min="5373" max="5376" width="18" style="3" customWidth="1"/>
    <col min="5377" max="5378" width="0" style="3" hidden="1" customWidth="1"/>
    <col min="5379" max="5379" width="5" style="3" bestFit="1" customWidth="1"/>
    <col min="5380" max="5380" width="14.7109375" style="3" bestFit="1" customWidth="1"/>
    <col min="5381" max="5381" width="13.7109375" style="3" bestFit="1" customWidth="1"/>
    <col min="5382" max="5624" width="9.140625" style="3"/>
    <col min="5625" max="5625" width="11.28515625" style="3" customWidth="1"/>
    <col min="5626" max="5626" width="31.140625" style="3" bestFit="1" customWidth="1"/>
    <col min="5627" max="5627" width="0" style="3" hidden="1" customWidth="1"/>
    <col min="5628" max="5628" width="14.140625" style="3" bestFit="1" customWidth="1"/>
    <col min="5629" max="5632" width="18" style="3" customWidth="1"/>
    <col min="5633" max="5634" width="0" style="3" hidden="1" customWidth="1"/>
    <col min="5635" max="5635" width="5" style="3" bestFit="1" customWidth="1"/>
    <col min="5636" max="5636" width="14.7109375" style="3" bestFit="1" customWidth="1"/>
    <col min="5637" max="5637" width="13.7109375" style="3" bestFit="1" customWidth="1"/>
    <col min="5638" max="5880" width="9.140625" style="3"/>
    <col min="5881" max="5881" width="11.28515625" style="3" customWidth="1"/>
    <col min="5882" max="5882" width="31.140625" style="3" bestFit="1" customWidth="1"/>
    <col min="5883" max="5883" width="0" style="3" hidden="1" customWidth="1"/>
    <col min="5884" max="5884" width="14.140625" style="3" bestFit="1" customWidth="1"/>
    <col min="5885" max="5888" width="18" style="3" customWidth="1"/>
    <col min="5889" max="5890" width="0" style="3" hidden="1" customWidth="1"/>
    <col min="5891" max="5891" width="5" style="3" bestFit="1" customWidth="1"/>
    <col min="5892" max="5892" width="14.7109375" style="3" bestFit="1" customWidth="1"/>
    <col min="5893" max="5893" width="13.7109375" style="3" bestFit="1" customWidth="1"/>
    <col min="5894" max="6136" width="9.140625" style="3"/>
    <col min="6137" max="6137" width="11.28515625" style="3" customWidth="1"/>
    <col min="6138" max="6138" width="31.140625" style="3" bestFit="1" customWidth="1"/>
    <col min="6139" max="6139" width="0" style="3" hidden="1" customWidth="1"/>
    <col min="6140" max="6140" width="14.140625" style="3" bestFit="1" customWidth="1"/>
    <col min="6141" max="6144" width="18" style="3" customWidth="1"/>
    <col min="6145" max="6146" width="0" style="3" hidden="1" customWidth="1"/>
    <col min="6147" max="6147" width="5" style="3" bestFit="1" customWidth="1"/>
    <col min="6148" max="6148" width="14.7109375" style="3" bestFit="1" customWidth="1"/>
    <col min="6149" max="6149" width="13.7109375" style="3" bestFit="1" customWidth="1"/>
    <col min="6150" max="6392" width="9.140625" style="3"/>
    <col min="6393" max="6393" width="11.28515625" style="3" customWidth="1"/>
    <col min="6394" max="6394" width="31.140625" style="3" bestFit="1" customWidth="1"/>
    <col min="6395" max="6395" width="0" style="3" hidden="1" customWidth="1"/>
    <col min="6396" max="6396" width="14.140625" style="3" bestFit="1" customWidth="1"/>
    <col min="6397" max="6400" width="18" style="3" customWidth="1"/>
    <col min="6401" max="6402" width="0" style="3" hidden="1" customWidth="1"/>
    <col min="6403" max="6403" width="5" style="3" bestFit="1" customWidth="1"/>
    <col min="6404" max="6404" width="14.7109375" style="3" bestFit="1" customWidth="1"/>
    <col min="6405" max="6405" width="13.7109375" style="3" bestFit="1" customWidth="1"/>
    <col min="6406" max="6648" width="9.140625" style="3"/>
    <col min="6649" max="6649" width="11.28515625" style="3" customWidth="1"/>
    <col min="6650" max="6650" width="31.140625" style="3" bestFit="1" customWidth="1"/>
    <col min="6651" max="6651" width="0" style="3" hidden="1" customWidth="1"/>
    <col min="6652" max="6652" width="14.140625" style="3" bestFit="1" customWidth="1"/>
    <col min="6653" max="6656" width="18" style="3" customWidth="1"/>
    <col min="6657" max="6658" width="0" style="3" hidden="1" customWidth="1"/>
    <col min="6659" max="6659" width="5" style="3" bestFit="1" customWidth="1"/>
    <col min="6660" max="6660" width="14.7109375" style="3" bestFit="1" customWidth="1"/>
    <col min="6661" max="6661" width="13.7109375" style="3" bestFit="1" customWidth="1"/>
    <col min="6662" max="6904" width="9.140625" style="3"/>
    <col min="6905" max="6905" width="11.28515625" style="3" customWidth="1"/>
    <col min="6906" max="6906" width="31.140625" style="3" bestFit="1" customWidth="1"/>
    <col min="6907" max="6907" width="0" style="3" hidden="1" customWidth="1"/>
    <col min="6908" max="6908" width="14.140625" style="3" bestFit="1" customWidth="1"/>
    <col min="6909" max="6912" width="18" style="3" customWidth="1"/>
    <col min="6913" max="6914" width="0" style="3" hidden="1" customWidth="1"/>
    <col min="6915" max="6915" width="5" style="3" bestFit="1" customWidth="1"/>
    <col min="6916" max="6916" width="14.7109375" style="3" bestFit="1" customWidth="1"/>
    <col min="6917" max="6917" width="13.7109375" style="3" bestFit="1" customWidth="1"/>
    <col min="6918" max="7160" width="9.140625" style="3"/>
    <col min="7161" max="7161" width="11.28515625" style="3" customWidth="1"/>
    <col min="7162" max="7162" width="31.140625" style="3" bestFit="1" customWidth="1"/>
    <col min="7163" max="7163" width="0" style="3" hidden="1" customWidth="1"/>
    <col min="7164" max="7164" width="14.140625" style="3" bestFit="1" customWidth="1"/>
    <col min="7165" max="7168" width="18" style="3" customWidth="1"/>
    <col min="7169" max="7170" width="0" style="3" hidden="1" customWidth="1"/>
    <col min="7171" max="7171" width="5" style="3" bestFit="1" customWidth="1"/>
    <col min="7172" max="7172" width="14.7109375" style="3" bestFit="1" customWidth="1"/>
    <col min="7173" max="7173" width="13.7109375" style="3" bestFit="1" customWidth="1"/>
    <col min="7174" max="7416" width="9.140625" style="3"/>
    <col min="7417" max="7417" width="11.28515625" style="3" customWidth="1"/>
    <col min="7418" max="7418" width="31.140625" style="3" bestFit="1" customWidth="1"/>
    <col min="7419" max="7419" width="0" style="3" hidden="1" customWidth="1"/>
    <col min="7420" max="7420" width="14.140625" style="3" bestFit="1" customWidth="1"/>
    <col min="7421" max="7424" width="18" style="3" customWidth="1"/>
    <col min="7425" max="7426" width="0" style="3" hidden="1" customWidth="1"/>
    <col min="7427" max="7427" width="5" style="3" bestFit="1" customWidth="1"/>
    <col min="7428" max="7428" width="14.7109375" style="3" bestFit="1" customWidth="1"/>
    <col min="7429" max="7429" width="13.7109375" style="3" bestFit="1" customWidth="1"/>
    <col min="7430" max="7672" width="9.140625" style="3"/>
    <col min="7673" max="7673" width="11.28515625" style="3" customWidth="1"/>
    <col min="7674" max="7674" width="31.140625" style="3" bestFit="1" customWidth="1"/>
    <col min="7675" max="7675" width="0" style="3" hidden="1" customWidth="1"/>
    <col min="7676" max="7676" width="14.140625" style="3" bestFit="1" customWidth="1"/>
    <col min="7677" max="7680" width="18" style="3" customWidth="1"/>
    <col min="7681" max="7682" width="0" style="3" hidden="1" customWidth="1"/>
    <col min="7683" max="7683" width="5" style="3" bestFit="1" customWidth="1"/>
    <col min="7684" max="7684" width="14.7109375" style="3" bestFit="1" customWidth="1"/>
    <col min="7685" max="7685" width="13.7109375" style="3" bestFit="1" customWidth="1"/>
    <col min="7686" max="7928" width="9.140625" style="3"/>
    <col min="7929" max="7929" width="11.28515625" style="3" customWidth="1"/>
    <col min="7930" max="7930" width="31.140625" style="3" bestFit="1" customWidth="1"/>
    <col min="7931" max="7931" width="0" style="3" hidden="1" customWidth="1"/>
    <col min="7932" max="7932" width="14.140625" style="3" bestFit="1" customWidth="1"/>
    <col min="7933" max="7936" width="18" style="3" customWidth="1"/>
    <col min="7937" max="7938" width="0" style="3" hidden="1" customWidth="1"/>
    <col min="7939" max="7939" width="5" style="3" bestFit="1" customWidth="1"/>
    <col min="7940" max="7940" width="14.7109375" style="3" bestFit="1" customWidth="1"/>
    <col min="7941" max="7941" width="13.7109375" style="3" bestFit="1" customWidth="1"/>
    <col min="7942" max="8184" width="9.140625" style="3"/>
    <col min="8185" max="8185" width="11.28515625" style="3" customWidth="1"/>
    <col min="8186" max="8186" width="31.140625" style="3" bestFit="1" customWidth="1"/>
    <col min="8187" max="8187" width="0" style="3" hidden="1" customWidth="1"/>
    <col min="8188" max="8188" width="14.140625" style="3" bestFit="1" customWidth="1"/>
    <col min="8189" max="8192" width="18" style="3" customWidth="1"/>
    <col min="8193" max="8194" width="0" style="3" hidden="1" customWidth="1"/>
    <col min="8195" max="8195" width="5" style="3" bestFit="1" customWidth="1"/>
    <col min="8196" max="8196" width="14.7109375" style="3" bestFit="1" customWidth="1"/>
    <col min="8197" max="8197" width="13.7109375" style="3" bestFit="1" customWidth="1"/>
    <col min="8198" max="8440" width="9.140625" style="3"/>
    <col min="8441" max="8441" width="11.28515625" style="3" customWidth="1"/>
    <col min="8442" max="8442" width="31.140625" style="3" bestFit="1" customWidth="1"/>
    <col min="8443" max="8443" width="0" style="3" hidden="1" customWidth="1"/>
    <col min="8444" max="8444" width="14.140625" style="3" bestFit="1" customWidth="1"/>
    <col min="8445" max="8448" width="18" style="3" customWidth="1"/>
    <col min="8449" max="8450" width="0" style="3" hidden="1" customWidth="1"/>
    <col min="8451" max="8451" width="5" style="3" bestFit="1" customWidth="1"/>
    <col min="8452" max="8452" width="14.7109375" style="3" bestFit="1" customWidth="1"/>
    <col min="8453" max="8453" width="13.7109375" style="3" bestFit="1" customWidth="1"/>
    <col min="8454" max="8696" width="9.140625" style="3"/>
    <col min="8697" max="8697" width="11.28515625" style="3" customWidth="1"/>
    <col min="8698" max="8698" width="31.140625" style="3" bestFit="1" customWidth="1"/>
    <col min="8699" max="8699" width="0" style="3" hidden="1" customWidth="1"/>
    <col min="8700" max="8700" width="14.140625" style="3" bestFit="1" customWidth="1"/>
    <col min="8701" max="8704" width="18" style="3" customWidth="1"/>
    <col min="8705" max="8706" width="0" style="3" hidden="1" customWidth="1"/>
    <col min="8707" max="8707" width="5" style="3" bestFit="1" customWidth="1"/>
    <col min="8708" max="8708" width="14.7109375" style="3" bestFit="1" customWidth="1"/>
    <col min="8709" max="8709" width="13.7109375" style="3" bestFit="1" customWidth="1"/>
    <col min="8710" max="8952" width="9.140625" style="3"/>
    <col min="8953" max="8953" width="11.28515625" style="3" customWidth="1"/>
    <col min="8954" max="8954" width="31.140625" style="3" bestFit="1" customWidth="1"/>
    <col min="8955" max="8955" width="0" style="3" hidden="1" customWidth="1"/>
    <col min="8956" max="8956" width="14.140625" style="3" bestFit="1" customWidth="1"/>
    <col min="8957" max="8960" width="18" style="3" customWidth="1"/>
    <col min="8961" max="8962" width="0" style="3" hidden="1" customWidth="1"/>
    <col min="8963" max="8963" width="5" style="3" bestFit="1" customWidth="1"/>
    <col min="8964" max="8964" width="14.7109375" style="3" bestFit="1" customWidth="1"/>
    <col min="8965" max="8965" width="13.7109375" style="3" bestFit="1" customWidth="1"/>
    <col min="8966" max="9208" width="9.140625" style="3"/>
    <col min="9209" max="9209" width="11.28515625" style="3" customWidth="1"/>
    <col min="9210" max="9210" width="31.140625" style="3" bestFit="1" customWidth="1"/>
    <col min="9211" max="9211" width="0" style="3" hidden="1" customWidth="1"/>
    <col min="9212" max="9212" width="14.140625" style="3" bestFit="1" customWidth="1"/>
    <col min="9213" max="9216" width="18" style="3" customWidth="1"/>
    <col min="9217" max="9218" width="0" style="3" hidden="1" customWidth="1"/>
    <col min="9219" max="9219" width="5" style="3" bestFit="1" customWidth="1"/>
    <col min="9220" max="9220" width="14.7109375" style="3" bestFit="1" customWidth="1"/>
    <col min="9221" max="9221" width="13.7109375" style="3" bestFit="1" customWidth="1"/>
    <col min="9222" max="9464" width="9.140625" style="3"/>
    <col min="9465" max="9465" width="11.28515625" style="3" customWidth="1"/>
    <col min="9466" max="9466" width="31.140625" style="3" bestFit="1" customWidth="1"/>
    <col min="9467" max="9467" width="0" style="3" hidden="1" customWidth="1"/>
    <col min="9468" max="9468" width="14.140625" style="3" bestFit="1" customWidth="1"/>
    <col min="9469" max="9472" width="18" style="3" customWidth="1"/>
    <col min="9473" max="9474" width="0" style="3" hidden="1" customWidth="1"/>
    <col min="9475" max="9475" width="5" style="3" bestFit="1" customWidth="1"/>
    <col min="9476" max="9476" width="14.7109375" style="3" bestFit="1" customWidth="1"/>
    <col min="9477" max="9477" width="13.7109375" style="3" bestFit="1" customWidth="1"/>
    <col min="9478" max="9720" width="9.140625" style="3"/>
    <col min="9721" max="9721" width="11.28515625" style="3" customWidth="1"/>
    <col min="9722" max="9722" width="31.140625" style="3" bestFit="1" customWidth="1"/>
    <col min="9723" max="9723" width="0" style="3" hidden="1" customWidth="1"/>
    <col min="9724" max="9724" width="14.140625" style="3" bestFit="1" customWidth="1"/>
    <col min="9725" max="9728" width="18" style="3" customWidth="1"/>
    <col min="9729" max="9730" width="0" style="3" hidden="1" customWidth="1"/>
    <col min="9731" max="9731" width="5" style="3" bestFit="1" customWidth="1"/>
    <col min="9732" max="9732" width="14.7109375" style="3" bestFit="1" customWidth="1"/>
    <col min="9733" max="9733" width="13.7109375" style="3" bestFit="1" customWidth="1"/>
    <col min="9734" max="9976" width="9.140625" style="3"/>
    <col min="9977" max="9977" width="11.28515625" style="3" customWidth="1"/>
    <col min="9978" max="9978" width="31.140625" style="3" bestFit="1" customWidth="1"/>
    <col min="9979" max="9979" width="0" style="3" hidden="1" customWidth="1"/>
    <col min="9980" max="9980" width="14.140625" style="3" bestFit="1" customWidth="1"/>
    <col min="9981" max="9984" width="18" style="3" customWidth="1"/>
    <col min="9985" max="9986" width="0" style="3" hidden="1" customWidth="1"/>
    <col min="9987" max="9987" width="5" style="3" bestFit="1" customWidth="1"/>
    <col min="9988" max="9988" width="14.7109375" style="3" bestFit="1" customWidth="1"/>
    <col min="9989" max="9989" width="13.7109375" style="3" bestFit="1" customWidth="1"/>
    <col min="9990" max="10232" width="9.140625" style="3"/>
    <col min="10233" max="10233" width="11.28515625" style="3" customWidth="1"/>
    <col min="10234" max="10234" width="31.140625" style="3" bestFit="1" customWidth="1"/>
    <col min="10235" max="10235" width="0" style="3" hidden="1" customWidth="1"/>
    <col min="10236" max="10236" width="14.140625" style="3" bestFit="1" customWidth="1"/>
    <col min="10237" max="10240" width="18" style="3" customWidth="1"/>
    <col min="10241" max="10242" width="0" style="3" hidden="1" customWidth="1"/>
    <col min="10243" max="10243" width="5" style="3" bestFit="1" customWidth="1"/>
    <col min="10244" max="10244" width="14.7109375" style="3" bestFit="1" customWidth="1"/>
    <col min="10245" max="10245" width="13.7109375" style="3" bestFit="1" customWidth="1"/>
    <col min="10246" max="10488" width="9.140625" style="3"/>
    <col min="10489" max="10489" width="11.28515625" style="3" customWidth="1"/>
    <col min="10490" max="10490" width="31.140625" style="3" bestFit="1" customWidth="1"/>
    <col min="10491" max="10491" width="0" style="3" hidden="1" customWidth="1"/>
    <col min="10492" max="10492" width="14.140625" style="3" bestFit="1" customWidth="1"/>
    <col min="10493" max="10496" width="18" style="3" customWidth="1"/>
    <col min="10497" max="10498" width="0" style="3" hidden="1" customWidth="1"/>
    <col min="10499" max="10499" width="5" style="3" bestFit="1" customWidth="1"/>
    <col min="10500" max="10500" width="14.7109375" style="3" bestFit="1" customWidth="1"/>
    <col min="10501" max="10501" width="13.7109375" style="3" bestFit="1" customWidth="1"/>
    <col min="10502" max="10744" width="9.140625" style="3"/>
    <col min="10745" max="10745" width="11.28515625" style="3" customWidth="1"/>
    <col min="10746" max="10746" width="31.140625" style="3" bestFit="1" customWidth="1"/>
    <col min="10747" max="10747" width="0" style="3" hidden="1" customWidth="1"/>
    <col min="10748" max="10748" width="14.140625" style="3" bestFit="1" customWidth="1"/>
    <col min="10749" max="10752" width="18" style="3" customWidth="1"/>
    <col min="10753" max="10754" width="0" style="3" hidden="1" customWidth="1"/>
    <col min="10755" max="10755" width="5" style="3" bestFit="1" customWidth="1"/>
    <col min="10756" max="10756" width="14.7109375" style="3" bestFit="1" customWidth="1"/>
    <col min="10757" max="10757" width="13.7109375" style="3" bestFit="1" customWidth="1"/>
    <col min="10758" max="11000" width="9.140625" style="3"/>
    <col min="11001" max="11001" width="11.28515625" style="3" customWidth="1"/>
    <col min="11002" max="11002" width="31.140625" style="3" bestFit="1" customWidth="1"/>
    <col min="11003" max="11003" width="0" style="3" hidden="1" customWidth="1"/>
    <col min="11004" max="11004" width="14.140625" style="3" bestFit="1" customWidth="1"/>
    <col min="11005" max="11008" width="18" style="3" customWidth="1"/>
    <col min="11009" max="11010" width="0" style="3" hidden="1" customWidth="1"/>
    <col min="11011" max="11011" width="5" style="3" bestFit="1" customWidth="1"/>
    <col min="11012" max="11012" width="14.7109375" style="3" bestFit="1" customWidth="1"/>
    <col min="11013" max="11013" width="13.7109375" style="3" bestFit="1" customWidth="1"/>
    <col min="11014" max="11256" width="9.140625" style="3"/>
    <col min="11257" max="11257" width="11.28515625" style="3" customWidth="1"/>
    <col min="11258" max="11258" width="31.140625" style="3" bestFit="1" customWidth="1"/>
    <col min="11259" max="11259" width="0" style="3" hidden="1" customWidth="1"/>
    <col min="11260" max="11260" width="14.140625" style="3" bestFit="1" customWidth="1"/>
    <col min="11261" max="11264" width="18" style="3" customWidth="1"/>
    <col min="11265" max="11266" width="0" style="3" hidden="1" customWidth="1"/>
    <col min="11267" max="11267" width="5" style="3" bestFit="1" customWidth="1"/>
    <col min="11268" max="11268" width="14.7109375" style="3" bestFit="1" customWidth="1"/>
    <col min="11269" max="11269" width="13.7109375" style="3" bestFit="1" customWidth="1"/>
    <col min="11270" max="11512" width="9.140625" style="3"/>
    <col min="11513" max="11513" width="11.28515625" style="3" customWidth="1"/>
    <col min="11514" max="11514" width="31.140625" style="3" bestFit="1" customWidth="1"/>
    <col min="11515" max="11515" width="0" style="3" hidden="1" customWidth="1"/>
    <col min="11516" max="11516" width="14.140625" style="3" bestFit="1" customWidth="1"/>
    <col min="11517" max="11520" width="18" style="3" customWidth="1"/>
    <col min="11521" max="11522" width="0" style="3" hidden="1" customWidth="1"/>
    <col min="11523" max="11523" width="5" style="3" bestFit="1" customWidth="1"/>
    <col min="11524" max="11524" width="14.7109375" style="3" bestFit="1" customWidth="1"/>
    <col min="11525" max="11525" width="13.7109375" style="3" bestFit="1" customWidth="1"/>
    <col min="11526" max="11768" width="9.140625" style="3"/>
    <col min="11769" max="11769" width="11.28515625" style="3" customWidth="1"/>
    <col min="11770" max="11770" width="31.140625" style="3" bestFit="1" customWidth="1"/>
    <col min="11771" max="11771" width="0" style="3" hidden="1" customWidth="1"/>
    <col min="11772" max="11772" width="14.140625" style="3" bestFit="1" customWidth="1"/>
    <col min="11773" max="11776" width="18" style="3" customWidth="1"/>
    <col min="11777" max="11778" width="0" style="3" hidden="1" customWidth="1"/>
    <col min="11779" max="11779" width="5" style="3" bestFit="1" customWidth="1"/>
    <col min="11780" max="11780" width="14.7109375" style="3" bestFit="1" customWidth="1"/>
    <col min="11781" max="11781" width="13.7109375" style="3" bestFit="1" customWidth="1"/>
    <col min="11782" max="12024" width="9.140625" style="3"/>
    <col min="12025" max="12025" width="11.28515625" style="3" customWidth="1"/>
    <col min="12026" max="12026" width="31.140625" style="3" bestFit="1" customWidth="1"/>
    <col min="12027" max="12027" width="0" style="3" hidden="1" customWidth="1"/>
    <col min="12028" max="12028" width="14.140625" style="3" bestFit="1" customWidth="1"/>
    <col min="12029" max="12032" width="18" style="3" customWidth="1"/>
    <col min="12033" max="12034" width="0" style="3" hidden="1" customWidth="1"/>
    <col min="12035" max="12035" width="5" style="3" bestFit="1" customWidth="1"/>
    <col min="12036" max="12036" width="14.7109375" style="3" bestFit="1" customWidth="1"/>
    <col min="12037" max="12037" width="13.7109375" style="3" bestFit="1" customWidth="1"/>
    <col min="12038" max="12280" width="9.140625" style="3"/>
    <col min="12281" max="12281" width="11.28515625" style="3" customWidth="1"/>
    <col min="12282" max="12282" width="31.140625" style="3" bestFit="1" customWidth="1"/>
    <col min="12283" max="12283" width="0" style="3" hidden="1" customWidth="1"/>
    <col min="12284" max="12284" width="14.140625" style="3" bestFit="1" customWidth="1"/>
    <col min="12285" max="12288" width="18" style="3" customWidth="1"/>
    <col min="12289" max="12290" width="0" style="3" hidden="1" customWidth="1"/>
    <col min="12291" max="12291" width="5" style="3" bestFit="1" customWidth="1"/>
    <col min="12292" max="12292" width="14.7109375" style="3" bestFit="1" customWidth="1"/>
    <col min="12293" max="12293" width="13.7109375" style="3" bestFit="1" customWidth="1"/>
    <col min="12294" max="12536" width="9.140625" style="3"/>
    <col min="12537" max="12537" width="11.28515625" style="3" customWidth="1"/>
    <col min="12538" max="12538" width="31.140625" style="3" bestFit="1" customWidth="1"/>
    <col min="12539" max="12539" width="0" style="3" hidden="1" customWidth="1"/>
    <col min="12540" max="12540" width="14.140625" style="3" bestFit="1" customWidth="1"/>
    <col min="12541" max="12544" width="18" style="3" customWidth="1"/>
    <col min="12545" max="12546" width="0" style="3" hidden="1" customWidth="1"/>
    <col min="12547" max="12547" width="5" style="3" bestFit="1" customWidth="1"/>
    <col min="12548" max="12548" width="14.7109375" style="3" bestFit="1" customWidth="1"/>
    <col min="12549" max="12549" width="13.7109375" style="3" bestFit="1" customWidth="1"/>
    <col min="12550" max="12792" width="9.140625" style="3"/>
    <col min="12793" max="12793" width="11.28515625" style="3" customWidth="1"/>
    <col min="12794" max="12794" width="31.140625" style="3" bestFit="1" customWidth="1"/>
    <col min="12795" max="12795" width="0" style="3" hidden="1" customWidth="1"/>
    <col min="12796" max="12796" width="14.140625" style="3" bestFit="1" customWidth="1"/>
    <col min="12797" max="12800" width="18" style="3" customWidth="1"/>
    <col min="12801" max="12802" width="0" style="3" hidden="1" customWidth="1"/>
    <col min="12803" max="12803" width="5" style="3" bestFit="1" customWidth="1"/>
    <col min="12804" max="12804" width="14.7109375" style="3" bestFit="1" customWidth="1"/>
    <col min="12805" max="12805" width="13.7109375" style="3" bestFit="1" customWidth="1"/>
    <col min="12806" max="13048" width="9.140625" style="3"/>
    <col min="13049" max="13049" width="11.28515625" style="3" customWidth="1"/>
    <col min="13050" max="13050" width="31.140625" style="3" bestFit="1" customWidth="1"/>
    <col min="13051" max="13051" width="0" style="3" hidden="1" customWidth="1"/>
    <col min="13052" max="13052" width="14.140625" style="3" bestFit="1" customWidth="1"/>
    <col min="13053" max="13056" width="18" style="3" customWidth="1"/>
    <col min="13057" max="13058" width="0" style="3" hidden="1" customWidth="1"/>
    <col min="13059" max="13059" width="5" style="3" bestFit="1" customWidth="1"/>
    <col min="13060" max="13060" width="14.7109375" style="3" bestFit="1" customWidth="1"/>
    <col min="13061" max="13061" width="13.7109375" style="3" bestFit="1" customWidth="1"/>
    <col min="13062" max="13304" width="9.140625" style="3"/>
    <col min="13305" max="13305" width="11.28515625" style="3" customWidth="1"/>
    <col min="13306" max="13306" width="31.140625" style="3" bestFit="1" customWidth="1"/>
    <col min="13307" max="13307" width="0" style="3" hidden="1" customWidth="1"/>
    <col min="13308" max="13308" width="14.140625" style="3" bestFit="1" customWidth="1"/>
    <col min="13309" max="13312" width="18" style="3" customWidth="1"/>
    <col min="13313" max="13314" width="0" style="3" hidden="1" customWidth="1"/>
    <col min="13315" max="13315" width="5" style="3" bestFit="1" customWidth="1"/>
    <col min="13316" max="13316" width="14.7109375" style="3" bestFit="1" customWidth="1"/>
    <col min="13317" max="13317" width="13.7109375" style="3" bestFit="1" customWidth="1"/>
    <col min="13318" max="13560" width="9.140625" style="3"/>
    <col min="13561" max="13561" width="11.28515625" style="3" customWidth="1"/>
    <col min="13562" max="13562" width="31.140625" style="3" bestFit="1" customWidth="1"/>
    <col min="13563" max="13563" width="0" style="3" hidden="1" customWidth="1"/>
    <col min="13564" max="13564" width="14.140625" style="3" bestFit="1" customWidth="1"/>
    <col min="13565" max="13568" width="18" style="3" customWidth="1"/>
    <col min="13569" max="13570" width="0" style="3" hidden="1" customWidth="1"/>
    <col min="13571" max="13571" width="5" style="3" bestFit="1" customWidth="1"/>
    <col min="13572" max="13572" width="14.7109375" style="3" bestFit="1" customWidth="1"/>
    <col min="13573" max="13573" width="13.7109375" style="3" bestFit="1" customWidth="1"/>
    <col min="13574" max="13816" width="9.140625" style="3"/>
    <col min="13817" max="13817" width="11.28515625" style="3" customWidth="1"/>
    <col min="13818" max="13818" width="31.140625" style="3" bestFit="1" customWidth="1"/>
    <col min="13819" max="13819" width="0" style="3" hidden="1" customWidth="1"/>
    <col min="13820" max="13820" width="14.140625" style="3" bestFit="1" customWidth="1"/>
    <col min="13821" max="13824" width="18" style="3" customWidth="1"/>
    <col min="13825" max="13826" width="0" style="3" hidden="1" customWidth="1"/>
    <col min="13827" max="13827" width="5" style="3" bestFit="1" customWidth="1"/>
    <col min="13828" max="13828" width="14.7109375" style="3" bestFit="1" customWidth="1"/>
    <col min="13829" max="13829" width="13.7109375" style="3" bestFit="1" customWidth="1"/>
    <col min="13830" max="14072" width="9.140625" style="3"/>
    <col min="14073" max="14073" width="11.28515625" style="3" customWidth="1"/>
    <col min="14074" max="14074" width="31.140625" style="3" bestFit="1" customWidth="1"/>
    <col min="14075" max="14075" width="0" style="3" hidden="1" customWidth="1"/>
    <col min="14076" max="14076" width="14.140625" style="3" bestFit="1" customWidth="1"/>
    <col min="14077" max="14080" width="18" style="3" customWidth="1"/>
    <col min="14081" max="14082" width="0" style="3" hidden="1" customWidth="1"/>
    <col min="14083" max="14083" width="5" style="3" bestFit="1" customWidth="1"/>
    <col min="14084" max="14084" width="14.7109375" style="3" bestFit="1" customWidth="1"/>
    <col min="14085" max="14085" width="13.7109375" style="3" bestFit="1" customWidth="1"/>
    <col min="14086" max="14328" width="9.140625" style="3"/>
    <col min="14329" max="14329" width="11.28515625" style="3" customWidth="1"/>
    <col min="14330" max="14330" width="31.140625" style="3" bestFit="1" customWidth="1"/>
    <col min="14331" max="14331" width="0" style="3" hidden="1" customWidth="1"/>
    <col min="14332" max="14332" width="14.140625" style="3" bestFit="1" customWidth="1"/>
    <col min="14333" max="14336" width="18" style="3" customWidth="1"/>
    <col min="14337" max="14338" width="0" style="3" hidden="1" customWidth="1"/>
    <col min="14339" max="14339" width="5" style="3" bestFit="1" customWidth="1"/>
    <col min="14340" max="14340" width="14.7109375" style="3" bestFit="1" customWidth="1"/>
    <col min="14341" max="14341" width="13.7109375" style="3" bestFit="1" customWidth="1"/>
    <col min="14342" max="14584" width="9.140625" style="3"/>
    <col min="14585" max="14585" width="11.28515625" style="3" customWidth="1"/>
    <col min="14586" max="14586" width="31.140625" style="3" bestFit="1" customWidth="1"/>
    <col min="14587" max="14587" width="0" style="3" hidden="1" customWidth="1"/>
    <col min="14588" max="14588" width="14.140625" style="3" bestFit="1" customWidth="1"/>
    <col min="14589" max="14592" width="18" style="3" customWidth="1"/>
    <col min="14593" max="14594" width="0" style="3" hidden="1" customWidth="1"/>
    <col min="14595" max="14595" width="5" style="3" bestFit="1" customWidth="1"/>
    <col min="14596" max="14596" width="14.7109375" style="3" bestFit="1" customWidth="1"/>
    <col min="14597" max="14597" width="13.7109375" style="3" bestFit="1" customWidth="1"/>
    <col min="14598" max="14840" width="9.140625" style="3"/>
    <col min="14841" max="14841" width="11.28515625" style="3" customWidth="1"/>
    <col min="14842" max="14842" width="31.140625" style="3" bestFit="1" customWidth="1"/>
    <col min="14843" max="14843" width="0" style="3" hidden="1" customWidth="1"/>
    <col min="14844" max="14844" width="14.140625" style="3" bestFit="1" customWidth="1"/>
    <col min="14845" max="14848" width="18" style="3" customWidth="1"/>
    <col min="14849" max="14850" width="0" style="3" hidden="1" customWidth="1"/>
    <col min="14851" max="14851" width="5" style="3" bestFit="1" customWidth="1"/>
    <col min="14852" max="14852" width="14.7109375" style="3" bestFit="1" customWidth="1"/>
    <col min="14853" max="14853" width="13.7109375" style="3" bestFit="1" customWidth="1"/>
    <col min="14854" max="15096" width="9.140625" style="3"/>
    <col min="15097" max="15097" width="11.28515625" style="3" customWidth="1"/>
    <col min="15098" max="15098" width="31.140625" style="3" bestFit="1" customWidth="1"/>
    <col min="15099" max="15099" width="0" style="3" hidden="1" customWidth="1"/>
    <col min="15100" max="15100" width="14.140625" style="3" bestFit="1" customWidth="1"/>
    <col min="15101" max="15104" width="18" style="3" customWidth="1"/>
    <col min="15105" max="15106" width="0" style="3" hidden="1" customWidth="1"/>
    <col min="15107" max="15107" width="5" style="3" bestFit="1" customWidth="1"/>
    <col min="15108" max="15108" width="14.7109375" style="3" bestFit="1" customWidth="1"/>
    <col min="15109" max="15109" width="13.7109375" style="3" bestFit="1" customWidth="1"/>
    <col min="15110" max="15352" width="9.140625" style="3"/>
    <col min="15353" max="15353" width="11.28515625" style="3" customWidth="1"/>
    <col min="15354" max="15354" width="31.140625" style="3" bestFit="1" customWidth="1"/>
    <col min="15355" max="15355" width="0" style="3" hidden="1" customWidth="1"/>
    <col min="15356" max="15356" width="14.140625" style="3" bestFit="1" customWidth="1"/>
    <col min="15357" max="15360" width="18" style="3" customWidth="1"/>
    <col min="15361" max="15362" width="0" style="3" hidden="1" customWidth="1"/>
    <col min="15363" max="15363" width="5" style="3" bestFit="1" customWidth="1"/>
    <col min="15364" max="15364" width="14.7109375" style="3" bestFit="1" customWidth="1"/>
    <col min="15365" max="15365" width="13.7109375" style="3" bestFit="1" customWidth="1"/>
    <col min="15366" max="15608" width="9.140625" style="3"/>
    <col min="15609" max="15609" width="11.28515625" style="3" customWidth="1"/>
    <col min="15610" max="15610" width="31.140625" style="3" bestFit="1" customWidth="1"/>
    <col min="15611" max="15611" width="0" style="3" hidden="1" customWidth="1"/>
    <col min="15612" max="15612" width="14.140625" style="3" bestFit="1" customWidth="1"/>
    <col min="15613" max="15616" width="18" style="3" customWidth="1"/>
    <col min="15617" max="15618" width="0" style="3" hidden="1" customWidth="1"/>
    <col min="15619" max="15619" width="5" style="3" bestFit="1" customWidth="1"/>
    <col min="15620" max="15620" width="14.7109375" style="3" bestFit="1" customWidth="1"/>
    <col min="15621" max="15621" width="13.7109375" style="3" bestFit="1" customWidth="1"/>
    <col min="15622" max="15864" width="9.140625" style="3"/>
    <col min="15865" max="15865" width="11.28515625" style="3" customWidth="1"/>
    <col min="15866" max="15866" width="31.140625" style="3" bestFit="1" customWidth="1"/>
    <col min="15867" max="15867" width="0" style="3" hidden="1" customWidth="1"/>
    <col min="15868" max="15868" width="14.140625" style="3" bestFit="1" customWidth="1"/>
    <col min="15869" max="15872" width="18" style="3" customWidth="1"/>
    <col min="15873" max="15874" width="0" style="3" hidden="1" customWidth="1"/>
    <col min="15875" max="15875" width="5" style="3" bestFit="1" customWidth="1"/>
    <col min="15876" max="15876" width="14.7109375" style="3" bestFit="1" customWidth="1"/>
    <col min="15877" max="15877" width="13.7109375" style="3" bestFit="1" customWidth="1"/>
    <col min="15878" max="16120" width="9.140625" style="3"/>
    <col min="16121" max="16121" width="11.28515625" style="3" customWidth="1"/>
    <col min="16122" max="16122" width="31.140625" style="3" bestFit="1" customWidth="1"/>
    <col min="16123" max="16123" width="0" style="3" hidden="1" customWidth="1"/>
    <col min="16124" max="16124" width="14.140625" style="3" bestFit="1" customWidth="1"/>
    <col min="16125" max="16128" width="18" style="3" customWidth="1"/>
    <col min="16129" max="16130" width="0" style="3" hidden="1" customWidth="1"/>
    <col min="16131" max="16131" width="5" style="3" bestFit="1" customWidth="1"/>
    <col min="16132" max="16132" width="14.7109375" style="3" bestFit="1" customWidth="1"/>
    <col min="16133" max="16133" width="13.7109375" style="3" bestFit="1" customWidth="1"/>
    <col min="16134" max="16384" width="9.140625" style="3"/>
  </cols>
  <sheetData>
    <row r="2" spans="1:10" x14ac:dyDescent="0.2">
      <c r="A2" s="1"/>
      <c r="B2" s="371" t="e">
        <f>#REF!</f>
        <v>#REF!</v>
      </c>
      <c r="C2" s="372"/>
      <c r="D2" s="372"/>
      <c r="E2" s="73"/>
      <c r="F2" s="70"/>
      <c r="G2" s="37"/>
      <c r="H2" s="37"/>
    </row>
    <row r="3" spans="1:10" x14ac:dyDescent="0.2">
      <c r="A3" s="1"/>
      <c r="B3" s="371" t="e">
        <f>#REF!</f>
        <v>#REF!</v>
      </c>
      <c r="C3" s="372"/>
      <c r="D3" s="372"/>
      <c r="E3" s="73"/>
      <c r="F3" s="70"/>
      <c r="G3" s="56"/>
      <c r="H3" s="71"/>
    </row>
    <row r="4" spans="1:10" x14ac:dyDescent="0.2">
      <c r="A4" s="1"/>
      <c r="B4" s="371" t="e">
        <f>#REF!</f>
        <v>#REF!</v>
      </c>
      <c r="C4" s="372"/>
      <c r="D4" s="372"/>
      <c r="E4" s="73"/>
      <c r="F4" s="70"/>
      <c r="G4" s="56"/>
      <c r="H4" s="71"/>
    </row>
    <row r="5" spans="1:10" x14ac:dyDescent="0.2">
      <c r="A5" s="1"/>
      <c r="B5" s="373"/>
      <c r="C5" s="373"/>
      <c r="D5" s="373"/>
      <c r="E5" s="74"/>
      <c r="F5" s="71"/>
      <c r="G5" s="56"/>
      <c r="H5" s="71"/>
    </row>
    <row r="6" spans="1:10" x14ac:dyDescent="0.2">
      <c r="A6" s="1"/>
      <c r="B6" s="373" t="s">
        <v>21</v>
      </c>
      <c r="C6" s="373"/>
      <c r="D6" s="373"/>
      <c r="E6" s="74"/>
      <c r="F6" s="71"/>
      <c r="G6" s="56"/>
      <c r="H6" s="71"/>
    </row>
    <row r="7" spans="1:10" x14ac:dyDescent="0.2">
      <c r="A7" s="1"/>
      <c r="B7" s="51"/>
      <c r="C7" s="51"/>
      <c r="D7" s="51"/>
      <c r="E7" s="74"/>
      <c r="F7" s="71"/>
      <c r="G7" s="56"/>
      <c r="H7" s="71"/>
    </row>
    <row r="8" spans="1:10" x14ac:dyDescent="0.2">
      <c r="A8" s="1"/>
      <c r="B8" s="52" t="s">
        <v>84</v>
      </c>
      <c r="C8" s="40"/>
      <c r="D8" s="40"/>
      <c r="E8" s="74"/>
      <c r="F8" s="71"/>
      <c r="G8" s="56"/>
      <c r="H8" s="71"/>
    </row>
    <row r="9" spans="1:10" x14ac:dyDescent="0.2">
      <c r="B9" s="42" t="s">
        <v>22</v>
      </c>
      <c r="C9" s="43" t="s">
        <v>23</v>
      </c>
      <c r="D9" s="43" t="s">
        <v>24</v>
      </c>
      <c r="E9" s="58">
        <v>41638</v>
      </c>
      <c r="F9" s="58">
        <v>41547</v>
      </c>
      <c r="G9" s="58" t="s">
        <v>101</v>
      </c>
      <c r="H9" s="58" t="s">
        <v>94</v>
      </c>
      <c r="I9" s="44" t="s">
        <v>1</v>
      </c>
    </row>
    <row r="10" spans="1:10" x14ac:dyDescent="0.2">
      <c r="A10" s="35"/>
      <c r="B10" s="63">
        <v>1116</v>
      </c>
      <c r="C10" s="39" t="s">
        <v>25</v>
      </c>
      <c r="D10" s="29" t="s">
        <v>26</v>
      </c>
      <c r="E10" s="61">
        <v>-171751085.43313006</v>
      </c>
      <c r="F10" s="61">
        <v>-115093807.9481519</v>
      </c>
      <c r="G10" s="61">
        <v>-142781513.22667518</v>
      </c>
      <c r="H10" s="59">
        <f>+E10-F10</f>
        <v>-56657277.484978154</v>
      </c>
      <c r="I10" s="45" t="e">
        <f>#REF!</f>
        <v>#REF!</v>
      </c>
      <c r="J10" s="12" t="e">
        <f>VLOOKUP(B10,#REF!,1,0)</f>
        <v>#REF!</v>
      </c>
    </row>
    <row r="11" spans="1:10" x14ac:dyDescent="0.2">
      <c r="A11" s="35"/>
      <c r="B11" s="62">
        <v>1129</v>
      </c>
      <c r="C11" s="69" t="s">
        <v>28</v>
      </c>
      <c r="D11" s="60" t="s">
        <v>26</v>
      </c>
      <c r="E11" s="61">
        <v>-35056857.962373428</v>
      </c>
      <c r="F11" s="61">
        <v>-49196689.503636748</v>
      </c>
      <c r="G11" s="61">
        <v>-53672874.945974171</v>
      </c>
      <c r="H11" s="59">
        <f t="shared" ref="H11:H55" si="0">+E11-F11</f>
        <v>14139831.54126332</v>
      </c>
      <c r="I11" s="45"/>
      <c r="J11" s="12" t="e">
        <f>VLOOKUP(B11,#REF!,1,0)</f>
        <v>#REF!</v>
      </c>
    </row>
    <row r="12" spans="1:10" x14ac:dyDescent="0.2">
      <c r="A12" s="35"/>
      <c r="B12" s="63">
        <v>1121</v>
      </c>
      <c r="C12" s="39" t="s">
        <v>49</v>
      </c>
      <c r="D12" s="29" t="s">
        <v>26</v>
      </c>
      <c r="E12" s="61">
        <v>-58730692.940514214</v>
      </c>
      <c r="F12" s="61">
        <v>-50045513.220877573</v>
      </c>
      <c r="G12" s="61">
        <v>-62523069.816295452</v>
      </c>
      <c r="H12" s="59">
        <f t="shared" si="0"/>
        <v>-8685179.7196366414</v>
      </c>
      <c r="I12" s="45" t="e">
        <f>#REF!</f>
        <v>#REF!</v>
      </c>
      <c r="J12" s="12" t="e">
        <f>VLOOKUP(B12,#REF!,1,0)</f>
        <v>#REF!</v>
      </c>
    </row>
    <row r="13" spans="1:10" x14ac:dyDescent="0.2">
      <c r="A13" s="35"/>
      <c r="B13" s="62">
        <v>1228</v>
      </c>
      <c r="C13" s="69" t="s">
        <v>14</v>
      </c>
      <c r="D13" s="60" t="s">
        <v>27</v>
      </c>
      <c r="E13" s="61">
        <v>-20006420.317842346</v>
      </c>
      <c r="F13" s="61">
        <v>-24749013.657699749</v>
      </c>
      <c r="G13" s="61">
        <v>-18502160.970709212</v>
      </c>
      <c r="H13" s="59">
        <f t="shared" si="0"/>
        <v>4742593.3398574032</v>
      </c>
      <c r="I13" s="45"/>
      <c r="J13" s="12" t="e">
        <f>VLOOKUP(B13,#REF!,1,0)</f>
        <v>#REF!</v>
      </c>
    </row>
    <row r="14" spans="1:10" s="7" customFormat="1" x14ac:dyDescent="0.2">
      <c r="A14" s="35"/>
      <c r="B14" s="63">
        <v>3138</v>
      </c>
      <c r="C14" s="39" t="s">
        <v>30</v>
      </c>
      <c r="D14" s="29" t="s">
        <v>26</v>
      </c>
      <c r="E14" s="61">
        <v>-32668468.594635382</v>
      </c>
      <c r="F14" s="61">
        <v>-25841916.664104104</v>
      </c>
      <c r="G14" s="61">
        <v>-33855162.050251834</v>
      </c>
      <c r="H14" s="59">
        <f t="shared" si="0"/>
        <v>-6826551.9305312783</v>
      </c>
      <c r="I14" s="45"/>
      <c r="J14" s="12" t="e">
        <f>VLOOKUP(B14,#REF!,1,0)</f>
        <v>#REF!</v>
      </c>
    </row>
    <row r="15" spans="1:10" x14ac:dyDescent="0.2">
      <c r="A15" s="35"/>
      <c r="B15" s="63">
        <v>1113</v>
      </c>
      <c r="C15" s="39" t="s">
        <v>33</v>
      </c>
      <c r="D15" s="29" t="s">
        <v>26</v>
      </c>
      <c r="E15" s="61">
        <v>-13270975.342540069</v>
      </c>
      <c r="F15" s="61">
        <v>-14227582.620000001</v>
      </c>
      <c r="G15" s="61">
        <v>-14656968.147807496</v>
      </c>
      <c r="H15" s="59">
        <f t="shared" si="0"/>
        <v>956607.27745993249</v>
      </c>
      <c r="I15" s="46"/>
      <c r="J15" s="12" t="e">
        <f>VLOOKUP(B15,#REF!,1,0)</f>
        <v>#REF!</v>
      </c>
    </row>
    <row r="16" spans="1:10" x14ac:dyDescent="0.2">
      <c r="A16" s="35"/>
      <c r="B16" s="63">
        <v>1253</v>
      </c>
      <c r="C16" s="39" t="s">
        <v>15</v>
      </c>
      <c r="D16" s="29"/>
      <c r="E16" s="61">
        <v>-11567076.21736612</v>
      </c>
      <c r="F16" s="61">
        <v>-17871006.836255278</v>
      </c>
      <c r="G16" s="61">
        <v>-17980479.800733916</v>
      </c>
      <c r="H16" s="59">
        <f t="shared" si="0"/>
        <v>6303930.6188891586</v>
      </c>
      <c r="I16" s="46"/>
      <c r="J16" s="12" t="e">
        <f>VLOOKUP(B16,#REF!,1,0)</f>
        <v>#REF!</v>
      </c>
    </row>
    <row r="17" spans="1:10" x14ac:dyDescent="0.2">
      <c r="A17" s="35"/>
      <c r="B17" s="63">
        <v>2218</v>
      </c>
      <c r="C17" s="39" t="s">
        <v>50</v>
      </c>
      <c r="D17" s="29" t="s">
        <v>26</v>
      </c>
      <c r="E17" s="61">
        <v>-15198275.74375475</v>
      </c>
      <c r="F17" s="61">
        <v>-16414462.439999998</v>
      </c>
      <c r="G17" s="61">
        <v>-17110803.345190376</v>
      </c>
      <c r="H17" s="59">
        <f t="shared" si="0"/>
        <v>1216186.6962452475</v>
      </c>
      <c r="I17" s="45"/>
      <c r="J17" s="12" t="e">
        <f>VLOOKUP(B17,#REF!,1,0)</f>
        <v>#REF!</v>
      </c>
    </row>
    <row r="18" spans="1:10" x14ac:dyDescent="0.2">
      <c r="A18" s="35"/>
      <c r="B18" s="62">
        <v>3411</v>
      </c>
      <c r="C18" s="69" t="s">
        <v>34</v>
      </c>
      <c r="D18" s="60" t="s">
        <v>26</v>
      </c>
      <c r="E18" s="61">
        <v>-14377403.987999996</v>
      </c>
      <c r="F18" s="61">
        <v>-13336557.179031942</v>
      </c>
      <c r="G18" s="61">
        <v>-12089974.845449487</v>
      </c>
      <c r="H18" s="59">
        <f t="shared" si="0"/>
        <v>-1040846.8089680541</v>
      </c>
      <c r="I18" s="46"/>
      <c r="J18" s="12" t="e">
        <f>VLOOKUP(B18,#REF!,1,0)</f>
        <v>#REF!</v>
      </c>
    </row>
    <row r="19" spans="1:10" x14ac:dyDescent="0.2">
      <c r="A19" s="35"/>
      <c r="B19" s="63">
        <v>3152</v>
      </c>
      <c r="C19" s="39" t="s">
        <v>13</v>
      </c>
      <c r="D19" s="29"/>
      <c r="E19" s="61">
        <v>-11703143.019136898</v>
      </c>
      <c r="F19" s="61">
        <v>-11397109</v>
      </c>
      <c r="G19" s="61">
        <v>-12012734.837676544</v>
      </c>
      <c r="H19" s="59">
        <f t="shared" si="0"/>
        <v>-306034.01913689822</v>
      </c>
      <c r="I19" s="46"/>
      <c r="J19" s="12" t="e">
        <f>VLOOKUP(B19,#REF!,1,0)</f>
        <v>#REF!</v>
      </c>
    </row>
    <row r="20" spans="1:10" x14ac:dyDescent="0.2">
      <c r="A20" s="35"/>
      <c r="B20" s="62">
        <v>1111</v>
      </c>
      <c r="C20" s="69" t="s">
        <v>51</v>
      </c>
      <c r="D20" s="60" t="s">
        <v>26</v>
      </c>
      <c r="E20" s="61">
        <v>-26941948.580730356</v>
      </c>
      <c r="F20" s="61">
        <v>-46599912.020047456</v>
      </c>
      <c r="G20" s="61">
        <v>-35098960.368581451</v>
      </c>
      <c r="H20" s="59">
        <f t="shared" si="0"/>
        <v>19657963.4393171</v>
      </c>
      <c r="I20" s="46"/>
      <c r="J20" s="12" t="e">
        <f>VLOOKUP(B20,#REF!,1,0)</f>
        <v>#REF!</v>
      </c>
    </row>
    <row r="21" spans="1:10" x14ac:dyDescent="0.2">
      <c r="A21" s="35"/>
      <c r="B21" s="62">
        <v>1108</v>
      </c>
      <c r="C21" s="69" t="s">
        <v>31</v>
      </c>
      <c r="D21" s="60" t="s">
        <v>26</v>
      </c>
      <c r="E21" s="61"/>
      <c r="F21" s="61">
        <v>-15600707.116758555</v>
      </c>
      <c r="G21" s="61">
        <v>-16072141.213454239</v>
      </c>
      <c r="H21" s="59">
        <f t="shared" si="0"/>
        <v>15600707.116758555</v>
      </c>
      <c r="I21" s="46"/>
      <c r="J21" s="12" t="e">
        <f>VLOOKUP(B21,#REF!,1,0)</f>
        <v>#REF!</v>
      </c>
    </row>
    <row r="22" spans="1:10" x14ac:dyDescent="0.2">
      <c r="A22" s="35"/>
      <c r="B22" s="63">
        <v>1140</v>
      </c>
      <c r="C22" s="39" t="s">
        <v>29</v>
      </c>
      <c r="D22" s="29" t="s">
        <v>26</v>
      </c>
      <c r="E22" s="61">
        <v>-362642.34858367412</v>
      </c>
      <c r="F22" s="61">
        <v>-127697.12233460939</v>
      </c>
      <c r="G22" s="61">
        <v>-116914.34638396857</v>
      </c>
      <c r="H22" s="59">
        <f t="shared" si="0"/>
        <v>-234945.22624906473</v>
      </c>
      <c r="I22" s="46"/>
      <c r="J22" s="12" t="e">
        <f>VLOOKUP(B22,#REF!,1,0)</f>
        <v>#REF!</v>
      </c>
    </row>
    <row r="23" spans="1:10" x14ac:dyDescent="0.2">
      <c r="A23" s="35"/>
      <c r="B23" s="62">
        <v>1254</v>
      </c>
      <c r="C23" s="69" t="s">
        <v>52</v>
      </c>
      <c r="D23" s="60"/>
      <c r="E23" s="61">
        <v>-8875771.799571069</v>
      </c>
      <c r="F23" s="61">
        <v>-16962176.435516469</v>
      </c>
      <c r="G23" s="61">
        <v>-17411437.069993574</v>
      </c>
      <c r="H23" s="59">
        <f t="shared" si="0"/>
        <v>8086404.6359454002</v>
      </c>
      <c r="I23" s="46"/>
      <c r="J23" s="12" t="e">
        <f>VLOOKUP(B23,#REF!,1,0)</f>
        <v>#REF!</v>
      </c>
    </row>
    <row r="24" spans="1:10" s="7" customFormat="1" x14ac:dyDescent="0.2">
      <c r="A24" s="35"/>
      <c r="B24" s="63">
        <v>3151</v>
      </c>
      <c r="C24" s="39" t="s">
        <v>53</v>
      </c>
      <c r="D24" s="29"/>
      <c r="E24" s="61">
        <v>-6907288.004665398</v>
      </c>
      <c r="F24" s="61">
        <v>-7725190.735360926</v>
      </c>
      <c r="G24" s="61">
        <v>-8339158.4515110971</v>
      </c>
      <c r="H24" s="59">
        <f t="shared" si="0"/>
        <v>817902.73069552798</v>
      </c>
      <c r="I24" s="47"/>
      <c r="J24" s="12" t="e">
        <f>VLOOKUP(B24,#REF!,1,0)</f>
        <v>#REF!</v>
      </c>
    </row>
    <row r="25" spans="1:10" x14ac:dyDescent="0.2">
      <c r="A25" s="35"/>
      <c r="B25" s="63">
        <v>1141</v>
      </c>
      <c r="C25" s="39" t="s">
        <v>37</v>
      </c>
      <c r="D25" s="29" t="s">
        <v>26</v>
      </c>
      <c r="E25" s="61">
        <v>-2832497.57</v>
      </c>
      <c r="F25" s="61">
        <v>-2918855.454805708</v>
      </c>
      <c r="G25" s="61">
        <v>-2835082.3699999996</v>
      </c>
      <c r="H25" s="59">
        <f t="shared" si="0"/>
        <v>86357.884805708192</v>
      </c>
      <c r="I25" s="45"/>
      <c r="J25" s="12" t="e">
        <f>VLOOKUP(B25,#REF!,1,0)</f>
        <v>#REF!</v>
      </c>
    </row>
    <row r="26" spans="1:10" x14ac:dyDescent="0.2">
      <c r="A26" s="35"/>
      <c r="B26" s="62">
        <v>2217</v>
      </c>
      <c r="C26" s="69" t="s">
        <v>54</v>
      </c>
      <c r="D26" s="60" t="s">
        <v>27</v>
      </c>
      <c r="E26" s="61">
        <v>-3702888.8664772105</v>
      </c>
      <c r="F26" s="61">
        <v>-3937305.6717060218</v>
      </c>
      <c r="G26" s="61">
        <v>-4520589.9049840905</v>
      </c>
      <c r="H26" s="59">
        <f t="shared" si="0"/>
        <v>234416.80522881122</v>
      </c>
      <c r="I26" s="45"/>
      <c r="J26" s="12" t="e">
        <f>VLOOKUP(B26,#REF!,1,0)</f>
        <v>#REF!</v>
      </c>
    </row>
    <row r="27" spans="1:10" x14ac:dyDescent="0.2">
      <c r="A27" s="35"/>
      <c r="B27" s="63">
        <v>2223</v>
      </c>
      <c r="C27" s="39" t="s">
        <v>5</v>
      </c>
      <c r="D27" s="29" t="s">
        <v>26</v>
      </c>
      <c r="E27" s="61">
        <v>-5678944.7810454061</v>
      </c>
      <c r="F27" s="61">
        <v>-4869644.3373924419</v>
      </c>
      <c r="G27" s="61">
        <v>-6452012.3081823997</v>
      </c>
      <c r="H27" s="59">
        <f t="shared" si="0"/>
        <v>-809300.4436529642</v>
      </c>
      <c r="I27" s="46"/>
      <c r="J27" s="12" t="e">
        <f>VLOOKUP(B27,#REF!,1,0)</f>
        <v>#REF!</v>
      </c>
    </row>
    <row r="28" spans="1:10" x14ac:dyDescent="0.2">
      <c r="A28" s="35"/>
      <c r="B28" s="63">
        <v>1133</v>
      </c>
      <c r="C28" s="39" t="s">
        <v>55</v>
      </c>
      <c r="D28" s="29" t="s">
        <v>26</v>
      </c>
      <c r="E28" s="61">
        <v>-1409943.6800000004</v>
      </c>
      <c r="F28" s="61">
        <v>-15240342.451999987</v>
      </c>
      <c r="G28" s="61">
        <v>-16022598.73000003</v>
      </c>
      <c r="H28" s="59">
        <f t="shared" si="0"/>
        <v>13830398.771999987</v>
      </c>
      <c r="I28" s="45"/>
      <c r="J28" s="12" t="e">
        <f>VLOOKUP(B28,#REF!,1,0)</f>
        <v>#REF!</v>
      </c>
    </row>
    <row r="29" spans="1:10" x14ac:dyDescent="0.2">
      <c r="A29" s="35"/>
      <c r="B29" s="63">
        <v>4315</v>
      </c>
      <c r="C29" s="39" t="s">
        <v>10</v>
      </c>
      <c r="D29" s="29" t="s">
        <v>26</v>
      </c>
      <c r="E29" s="61">
        <v>-3817135.7367040804</v>
      </c>
      <c r="F29" s="61">
        <v>-2832497.57</v>
      </c>
      <c r="G29" s="61">
        <v>-2193932.3258259865</v>
      </c>
      <c r="H29" s="59">
        <f t="shared" si="0"/>
        <v>-984638.16670408053</v>
      </c>
      <c r="I29" s="46"/>
      <c r="J29" s="12" t="e">
        <f>VLOOKUP(B29,#REF!,1,0)</f>
        <v>#REF!</v>
      </c>
    </row>
    <row r="30" spans="1:10" x14ac:dyDescent="0.2">
      <c r="A30" s="35"/>
      <c r="B30" s="63">
        <v>1135</v>
      </c>
      <c r="C30" s="39" t="s">
        <v>36</v>
      </c>
      <c r="D30" s="29" t="s">
        <v>26</v>
      </c>
      <c r="E30" s="61">
        <v>-3618812.0240000011</v>
      </c>
      <c r="F30" s="61">
        <v>-7974258.0479999995</v>
      </c>
      <c r="G30" s="61">
        <v>-10197497.51000005</v>
      </c>
      <c r="H30" s="59">
        <f t="shared" si="0"/>
        <v>4355446.0239999983</v>
      </c>
      <c r="I30" s="46"/>
      <c r="J30" s="12" t="e">
        <f>VLOOKUP(B30,#REF!,1,0)</f>
        <v>#REF!</v>
      </c>
    </row>
    <row r="31" spans="1:10" x14ac:dyDescent="0.2">
      <c r="A31" s="35"/>
      <c r="B31" s="63">
        <v>1152</v>
      </c>
      <c r="C31" s="39" t="s">
        <v>32</v>
      </c>
      <c r="D31" s="29" t="s">
        <v>26</v>
      </c>
      <c r="E31" s="61"/>
      <c r="F31" s="61">
        <v>-1543043.487317529</v>
      </c>
      <c r="G31" s="61">
        <v>-910328.38861591346</v>
      </c>
      <c r="H31" s="59">
        <f t="shared" si="0"/>
        <v>1543043.487317529</v>
      </c>
      <c r="I31" s="45"/>
      <c r="J31" s="12" t="e">
        <f>VLOOKUP(B31,#REF!,1,0)</f>
        <v>#REF!</v>
      </c>
    </row>
    <row r="32" spans="1:10" x14ac:dyDescent="0.2">
      <c r="A32" s="35"/>
      <c r="B32" s="63">
        <v>1163</v>
      </c>
      <c r="C32" s="39" t="s">
        <v>56</v>
      </c>
      <c r="D32" s="29"/>
      <c r="E32" s="61">
        <v>-3941857.267550604</v>
      </c>
      <c r="F32" s="61">
        <v>-4229959.7245620182</v>
      </c>
      <c r="G32" s="61">
        <v>-4809751.969412433</v>
      </c>
      <c r="H32" s="59">
        <f t="shared" si="0"/>
        <v>288102.45701141423</v>
      </c>
      <c r="I32" s="46"/>
      <c r="J32" s="12" t="e">
        <f>VLOOKUP(B32,#REF!,1,0)</f>
        <v>#REF!</v>
      </c>
    </row>
    <row r="33" spans="1:10" x14ac:dyDescent="0.2">
      <c r="A33" s="35"/>
      <c r="B33" s="62">
        <v>1164</v>
      </c>
      <c r="C33" s="69" t="s">
        <v>62</v>
      </c>
      <c r="D33" s="60"/>
      <c r="E33" s="61">
        <v>-9539847.0083141979</v>
      </c>
      <c r="F33" s="61">
        <v>-24258598.03549064</v>
      </c>
      <c r="G33" s="61">
        <v>-18455453.53367142</v>
      </c>
      <c r="H33" s="59">
        <f t="shared" si="0"/>
        <v>14718751.027176442</v>
      </c>
      <c r="I33" s="46"/>
      <c r="J33" s="12" t="e">
        <f>VLOOKUP(B33,#REF!,1,0)</f>
        <v>#REF!</v>
      </c>
    </row>
    <row r="34" spans="1:10" x14ac:dyDescent="0.2">
      <c r="A34" s="35"/>
      <c r="B34" s="63">
        <v>3131</v>
      </c>
      <c r="C34" s="39" t="s">
        <v>57</v>
      </c>
      <c r="D34" s="29" t="s">
        <v>26</v>
      </c>
      <c r="E34" s="61">
        <v>-1441407.0136647066</v>
      </c>
      <c r="F34" s="61">
        <v>-713644.58286149183</v>
      </c>
      <c r="G34" s="61">
        <v>-502899.32038763829</v>
      </c>
      <c r="H34" s="59">
        <f t="shared" si="0"/>
        <v>-727762.43080321478</v>
      </c>
      <c r="I34" s="45"/>
      <c r="J34" s="12" t="e">
        <f>VLOOKUP(B34,#REF!,1,0)</f>
        <v>#REF!</v>
      </c>
    </row>
    <row r="35" spans="1:10" x14ac:dyDescent="0.2">
      <c r="A35" s="35"/>
      <c r="B35" s="62">
        <v>3112</v>
      </c>
      <c r="C35" s="69" t="s">
        <v>6</v>
      </c>
      <c r="D35" s="60" t="s">
        <v>26</v>
      </c>
      <c r="E35" s="61">
        <v>-1576082.0246523111</v>
      </c>
      <c r="F35" s="61">
        <v>-2657479.0902258214</v>
      </c>
      <c r="G35" s="61">
        <v>-1533714.8800000008</v>
      </c>
      <c r="H35" s="59">
        <f t="shared" si="0"/>
        <v>1081397.0655735102</v>
      </c>
      <c r="I35" s="46"/>
      <c r="J35" s="12" t="e">
        <f>VLOOKUP(B35,#REF!,1,0)</f>
        <v>#REF!</v>
      </c>
    </row>
    <row r="36" spans="1:10" x14ac:dyDescent="0.2">
      <c r="A36" s="35"/>
      <c r="B36" s="63">
        <v>3114</v>
      </c>
      <c r="C36" s="39" t="s">
        <v>7</v>
      </c>
      <c r="D36" s="29" t="s">
        <v>26</v>
      </c>
      <c r="E36" s="61">
        <v>-132303.53055999998</v>
      </c>
      <c r="F36" s="61">
        <v>-1857968.9212830393</v>
      </c>
      <c r="G36" s="61">
        <v>-942230.51464216947</v>
      </c>
      <c r="H36" s="59">
        <f t="shared" si="0"/>
        <v>1725665.3907230394</v>
      </c>
      <c r="I36" s="45"/>
      <c r="J36" s="12" t="e">
        <f>VLOOKUP(B36,#REF!,1,0)</f>
        <v>#REF!</v>
      </c>
    </row>
    <row r="37" spans="1:10" x14ac:dyDescent="0.2">
      <c r="A37" s="31"/>
      <c r="B37" s="63">
        <v>1117</v>
      </c>
      <c r="C37" s="39" t="s">
        <v>38</v>
      </c>
      <c r="D37" s="29" t="s">
        <v>27</v>
      </c>
      <c r="E37" s="61">
        <v>-897076</v>
      </c>
      <c r="F37" s="61">
        <v>-1189140.4700395376</v>
      </c>
      <c r="G37" s="61">
        <v>-897076</v>
      </c>
      <c r="H37" s="59">
        <f t="shared" si="0"/>
        <v>292064.47003953764</v>
      </c>
      <c r="I37" s="45"/>
      <c r="J37" s="12" t="e">
        <f>VLOOKUP(B37,#REF!,1,0)</f>
        <v>#REF!</v>
      </c>
    </row>
    <row r="38" spans="1:10" x14ac:dyDescent="0.2">
      <c r="A38" s="31"/>
      <c r="B38" s="62">
        <v>3119</v>
      </c>
      <c r="C38" s="69" t="s">
        <v>39</v>
      </c>
      <c r="D38" s="60" t="s">
        <v>26</v>
      </c>
      <c r="E38" s="61">
        <v>-1288395.9107017303</v>
      </c>
      <c r="F38" s="61">
        <v>-380253.00000000006</v>
      </c>
      <c r="G38" s="61">
        <v>-277395.79552711931</v>
      </c>
      <c r="H38" s="59">
        <f t="shared" si="0"/>
        <v>-908142.91070173029</v>
      </c>
      <c r="I38" s="46"/>
      <c r="J38" s="12" t="e">
        <f>VLOOKUP(B38,#REF!,1,0)</f>
        <v>#REF!</v>
      </c>
    </row>
    <row r="39" spans="1:10" x14ac:dyDescent="0.2">
      <c r="A39" s="31"/>
      <c r="B39" s="63">
        <v>1161</v>
      </c>
      <c r="C39" s="39" t="s">
        <v>58</v>
      </c>
      <c r="D39" s="29"/>
      <c r="E39" s="61">
        <v>-633677.0551169822</v>
      </c>
      <c r="F39" s="61">
        <v>-3176849.9823231534</v>
      </c>
      <c r="G39" s="61">
        <v>-3724789.3025536342</v>
      </c>
      <c r="H39" s="59">
        <f t="shared" si="0"/>
        <v>2543172.9272061712</v>
      </c>
      <c r="I39" s="45"/>
      <c r="J39" s="12" t="e">
        <f>VLOOKUP(B39,#REF!,1,0)</f>
        <v>#REF!</v>
      </c>
    </row>
    <row r="40" spans="1:10" x14ac:dyDescent="0.2">
      <c r="A40" s="31"/>
      <c r="B40" s="63">
        <v>3154</v>
      </c>
      <c r="C40" s="39" t="s">
        <v>63</v>
      </c>
      <c r="D40" s="29"/>
      <c r="E40" s="61">
        <v>-3196942.5057542496</v>
      </c>
      <c r="F40" s="61">
        <v>-780794.68666374253</v>
      </c>
      <c r="G40" s="61">
        <v>-603341.92927267589</v>
      </c>
      <c r="H40" s="59">
        <f t="shared" si="0"/>
        <v>-2416147.819090507</v>
      </c>
      <c r="I40" s="45"/>
      <c r="J40" s="12" t="e">
        <f>VLOOKUP(B40,#REF!,1,0)</f>
        <v>#REF!</v>
      </c>
    </row>
    <row r="41" spans="1:10" x14ac:dyDescent="0.2">
      <c r="A41" s="31"/>
      <c r="B41" s="63">
        <v>3155</v>
      </c>
      <c r="C41" s="39" t="s">
        <v>59</v>
      </c>
      <c r="D41" s="29"/>
      <c r="E41" s="61">
        <v>-9466980.0431626197</v>
      </c>
      <c r="F41" s="61">
        <v>-7519147.8975376906</v>
      </c>
      <c r="G41" s="61">
        <v>-8216829.448962287</v>
      </c>
      <c r="H41" s="59">
        <f t="shared" si="0"/>
        <v>-1947832.1456249291</v>
      </c>
      <c r="I41" s="45"/>
      <c r="J41" s="12" t="e">
        <f>VLOOKUP(B41,#REF!,1,0)</f>
        <v>#REF!</v>
      </c>
    </row>
    <row r="42" spans="1:10" x14ac:dyDescent="0.2">
      <c r="A42" s="31"/>
      <c r="B42" s="63">
        <v>1134</v>
      </c>
      <c r="C42" s="39" t="s">
        <v>60</v>
      </c>
      <c r="D42" s="29" t="s">
        <v>26</v>
      </c>
      <c r="E42" s="61">
        <v>-452714.99999999278</v>
      </c>
      <c r="F42" s="61">
        <v>-452357.95988338208</v>
      </c>
      <c r="G42" s="61">
        <v>-459565.99999999616</v>
      </c>
      <c r="H42" s="59">
        <f t="shared" si="0"/>
        <v>-357.04011661070399</v>
      </c>
      <c r="I42" s="45"/>
      <c r="J42" s="12" t="e">
        <f>VLOOKUP(B42,#REF!,1,0)</f>
        <v>#REF!</v>
      </c>
    </row>
    <row r="43" spans="1:10" x14ac:dyDescent="0.2">
      <c r="A43" s="31"/>
      <c r="B43" s="63">
        <v>1217</v>
      </c>
      <c r="C43" s="39" t="s">
        <v>40</v>
      </c>
      <c r="D43" s="29" t="s">
        <v>27</v>
      </c>
      <c r="E43" s="61">
        <v>-1629913.2630179194</v>
      </c>
      <c r="F43" s="61">
        <v>-897076</v>
      </c>
      <c r="G43" s="61">
        <v>-671730.02732678829</v>
      </c>
      <c r="H43" s="59">
        <f t="shared" si="0"/>
        <v>-732837.26301791938</v>
      </c>
      <c r="I43" s="46"/>
      <c r="J43" s="12" t="e">
        <f>VLOOKUP(B43,#REF!,1,0)</f>
        <v>#REF!</v>
      </c>
    </row>
    <row r="44" spans="1:10" x14ac:dyDescent="0.2">
      <c r="A44" s="31"/>
      <c r="B44" s="63">
        <v>1162</v>
      </c>
      <c r="C44" s="39" t="s">
        <v>61</v>
      </c>
      <c r="D44" s="29"/>
      <c r="E44" s="61">
        <v>-5450951.6242680512</v>
      </c>
      <c r="F44" s="61">
        <v>-4983212.2408034094</v>
      </c>
      <c r="G44" s="61">
        <v>-7318393.966873805</v>
      </c>
      <c r="H44" s="59">
        <f t="shared" si="0"/>
        <v>-467739.38346464187</v>
      </c>
      <c r="I44" s="45"/>
      <c r="J44" s="12" t="e">
        <f>VLOOKUP(B44,#REF!,1,0)</f>
        <v>#REF!</v>
      </c>
    </row>
    <row r="45" spans="1:10" x14ac:dyDescent="0.2">
      <c r="A45" s="31"/>
      <c r="B45" s="63">
        <v>1157</v>
      </c>
      <c r="C45" s="39" t="s">
        <v>41</v>
      </c>
      <c r="D45" s="29"/>
      <c r="E45" s="61"/>
      <c r="F45" s="61">
        <v>0</v>
      </c>
      <c r="G45" s="61">
        <v>-185.255</v>
      </c>
      <c r="H45" s="59">
        <f t="shared" si="0"/>
        <v>0</v>
      </c>
      <c r="I45" s="48"/>
      <c r="J45" s="12" t="e">
        <f>VLOOKUP(B45,#REF!,1,0)</f>
        <v>#REF!</v>
      </c>
    </row>
    <row r="46" spans="1:10" x14ac:dyDescent="0.2">
      <c r="A46" s="31"/>
      <c r="B46" s="63">
        <v>3153</v>
      </c>
      <c r="C46" s="39" t="s">
        <v>42</v>
      </c>
      <c r="D46" s="29"/>
      <c r="E46" s="61">
        <v>0</v>
      </c>
      <c r="F46" s="61">
        <v>0</v>
      </c>
      <c r="G46" s="61">
        <v>-1371.93</v>
      </c>
      <c r="H46" s="59">
        <f t="shared" si="0"/>
        <v>0</v>
      </c>
      <c r="I46" s="46"/>
      <c r="J46" s="12" t="e">
        <f>VLOOKUP(B46,#REF!,1,0)</f>
        <v>#REF!</v>
      </c>
    </row>
    <row r="47" spans="1:10" x14ac:dyDescent="0.2">
      <c r="A47" s="31"/>
      <c r="B47" s="63">
        <v>1258</v>
      </c>
      <c r="C47" s="39" t="s">
        <v>89</v>
      </c>
      <c r="D47" s="29"/>
      <c r="E47" s="61">
        <v>-2394484.3556226334</v>
      </c>
      <c r="F47" s="61">
        <v>-30517.7</v>
      </c>
      <c r="G47" s="61">
        <v>-99315.189999999973</v>
      </c>
      <c r="H47" s="59">
        <f t="shared" si="0"/>
        <v>-2363966.6556226332</v>
      </c>
      <c r="I47" s="46"/>
      <c r="J47" s="12" t="e">
        <f>VLOOKUP(B47,#REF!,1,0)</f>
        <v>#REF!</v>
      </c>
    </row>
    <row r="48" spans="1:10" x14ac:dyDescent="0.2">
      <c r="A48" s="31"/>
      <c r="B48" s="63">
        <v>2242</v>
      </c>
      <c r="C48" s="39" t="s">
        <v>90</v>
      </c>
      <c r="D48" s="29"/>
      <c r="E48" s="61">
        <v>-3339013.5223774901</v>
      </c>
      <c r="F48" s="61">
        <v>-1371.93</v>
      </c>
      <c r="G48" s="61">
        <v>-49365.516178467478</v>
      </c>
      <c r="H48" s="59">
        <f t="shared" si="0"/>
        <v>-3337641.5923774899</v>
      </c>
      <c r="I48" s="46"/>
      <c r="J48" s="12" t="e">
        <f>VLOOKUP(B48,#REF!,1,0)</f>
        <v>#REF!</v>
      </c>
    </row>
    <row r="49" spans="1:10" x14ac:dyDescent="0.2">
      <c r="A49" s="31"/>
      <c r="B49" s="63">
        <v>2241</v>
      </c>
      <c r="C49" s="39" t="s">
        <v>91</v>
      </c>
      <c r="D49" s="29"/>
      <c r="E49" s="61">
        <v>-3096403.0012192959</v>
      </c>
      <c r="F49" s="61">
        <v>-323580.17000000004</v>
      </c>
      <c r="G49" s="61">
        <v>-142628.16797672116</v>
      </c>
      <c r="H49" s="59">
        <f t="shared" si="0"/>
        <v>-2772822.831219296</v>
      </c>
      <c r="I49" s="46"/>
      <c r="J49" s="12" t="e">
        <f>VLOOKUP(B49,#REF!,1,0)</f>
        <v>#REF!</v>
      </c>
    </row>
    <row r="50" spans="1:10" x14ac:dyDescent="0.2">
      <c r="A50" s="31"/>
      <c r="B50" s="63">
        <v>1213</v>
      </c>
      <c r="C50" s="39" t="s">
        <v>92</v>
      </c>
      <c r="D50" s="29"/>
      <c r="E50" s="61">
        <v>-1168125.6842613816</v>
      </c>
      <c r="F50" s="61">
        <v>-2495900.61</v>
      </c>
      <c r="G50" s="61">
        <v>-1257015.0800000022</v>
      </c>
      <c r="H50" s="59">
        <f t="shared" si="0"/>
        <v>1327774.9257386182</v>
      </c>
      <c r="I50" s="46"/>
      <c r="J50" s="12" t="e">
        <f>VLOOKUP(B50,#REF!,1,0)</f>
        <v>#REF!</v>
      </c>
    </row>
    <row r="51" spans="1:10" x14ac:dyDescent="0.2">
      <c r="A51" s="31"/>
      <c r="B51" s="63">
        <v>1174</v>
      </c>
      <c r="C51" s="39"/>
      <c r="D51" s="29"/>
      <c r="E51" s="61">
        <v>-96288.09</v>
      </c>
      <c r="F51" s="61"/>
      <c r="G51" s="61"/>
      <c r="H51" s="59">
        <f t="shared" si="0"/>
        <v>-96288.09</v>
      </c>
      <c r="I51" s="46"/>
      <c r="J51" s="12" t="e">
        <f>VLOOKUP(B51,#REF!,1,0)</f>
        <v>#REF!</v>
      </c>
    </row>
    <row r="52" spans="1:10" x14ac:dyDescent="0.2">
      <c r="A52" s="31"/>
      <c r="B52" s="63">
        <v>1160</v>
      </c>
      <c r="C52" s="39"/>
      <c r="D52" s="29"/>
      <c r="E52" s="61">
        <v>-77288514.241999924</v>
      </c>
      <c r="F52" s="61"/>
      <c r="G52" s="61"/>
      <c r="H52" s="59">
        <f t="shared" si="0"/>
        <v>-77288514.241999924</v>
      </c>
      <c r="I52" s="46"/>
      <c r="J52" s="12" t="e">
        <f>VLOOKUP(B52,#REF!,1,0)</f>
        <v>#REF!</v>
      </c>
    </row>
    <row r="53" spans="1:10" x14ac:dyDescent="0.2">
      <c r="A53" s="31"/>
      <c r="B53" s="63">
        <v>1167</v>
      </c>
      <c r="C53" s="39"/>
      <c r="D53" s="29"/>
      <c r="E53" s="61">
        <v>-29883.03500000004</v>
      </c>
      <c r="F53" s="61"/>
      <c r="G53" s="61"/>
      <c r="H53" s="59">
        <f t="shared" si="0"/>
        <v>-29883.03500000004</v>
      </c>
      <c r="I53" s="46"/>
      <c r="J53" s="12" t="e">
        <f>VLOOKUP(B53,#REF!,1,0)</f>
        <v>#REF!</v>
      </c>
    </row>
    <row r="54" spans="1:10" x14ac:dyDescent="0.2">
      <c r="A54" s="31"/>
      <c r="B54" s="63">
        <v>3148</v>
      </c>
      <c r="C54" s="39" t="s">
        <v>99</v>
      </c>
      <c r="D54" s="29"/>
      <c r="E54" s="61">
        <v>-1544119.1500000001</v>
      </c>
      <c r="F54" s="61">
        <v>-9220627.2838185821</v>
      </c>
      <c r="G54" s="61"/>
      <c r="H54" s="59">
        <f t="shared" si="0"/>
        <v>7676508.1338185817</v>
      </c>
      <c r="I54" s="46"/>
      <c r="J54" s="12" t="e">
        <f>VLOOKUP(B54,#REF!,1,0)</f>
        <v>#REF!</v>
      </c>
    </row>
    <row r="55" spans="1:10" x14ac:dyDescent="0.2">
      <c r="A55" s="31"/>
      <c r="B55" s="63">
        <v>1169</v>
      </c>
      <c r="C55" s="39" t="s">
        <v>100</v>
      </c>
      <c r="D55" s="29"/>
      <c r="E55" s="61">
        <v>-27326049.754000086</v>
      </c>
      <c r="F55" s="61">
        <v>-18237580.214609884</v>
      </c>
      <c r="G55" s="61"/>
      <c r="H55" s="59">
        <f t="shared" si="0"/>
        <v>-9088469.5393902026</v>
      </c>
      <c r="I55" s="46"/>
      <c r="J55" s="12" t="e">
        <f>VLOOKUP(B55,#REF!,1,0)</f>
        <v>#REF!</v>
      </c>
    </row>
    <row r="56" spans="1:10" ht="15.75" customHeight="1" x14ac:dyDescent="0.2">
      <c r="B56" s="370" t="s">
        <v>43</v>
      </c>
      <c r="C56" s="370"/>
      <c r="D56" s="49"/>
      <c r="E56" s="75">
        <f>SUM(E10:E55)</f>
        <v>-604409302.03231442</v>
      </c>
      <c r="F56" s="50">
        <f>SUM(F10:F55)</f>
        <v>-547911350.02109945</v>
      </c>
      <c r="G56" s="50">
        <f>SUM(G10:G50)</f>
        <v>-555319448.80208182</v>
      </c>
      <c r="H56" s="50"/>
      <c r="I56" s="46"/>
    </row>
    <row r="59" spans="1:10" x14ac:dyDescent="0.2">
      <c r="F59" s="64"/>
    </row>
  </sheetData>
  <mergeCells count="6">
    <mergeCell ref="B56:C56"/>
    <mergeCell ref="B2:D2"/>
    <mergeCell ref="B3:D3"/>
    <mergeCell ref="B4:D4"/>
    <mergeCell ref="B5:D5"/>
    <mergeCell ref="B6:D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5" tint="0.39997558519241921"/>
  </sheetPr>
  <dimension ref="A1:N12"/>
  <sheetViews>
    <sheetView workbookViewId="0">
      <selection activeCell="F24" sqref="F24"/>
    </sheetView>
  </sheetViews>
  <sheetFormatPr defaultRowHeight="12.75" x14ac:dyDescent="0.2"/>
  <cols>
    <col min="1" max="1" width="9.140625" style="3"/>
    <col min="2" max="2" width="11.28515625" style="3" customWidth="1"/>
    <col min="3" max="3" width="34.85546875" style="3" bestFit="1" customWidth="1"/>
    <col min="4" max="4" width="7.85546875" style="3" bestFit="1" customWidth="1"/>
    <col min="5" max="10" width="18" style="7" customWidth="1"/>
    <col min="11" max="11" width="5" style="2" bestFit="1" customWidth="1"/>
    <col min="12" max="12" width="14.7109375" style="3" bestFit="1" customWidth="1"/>
    <col min="13" max="13" width="13.7109375" style="3" bestFit="1" customWidth="1"/>
    <col min="14" max="256" width="9.140625" style="3"/>
    <col min="257" max="257" width="11.28515625" style="3" customWidth="1"/>
    <col min="258" max="258" width="34.85546875" style="3" bestFit="1" customWidth="1"/>
    <col min="259" max="259" width="7.85546875" style="3" bestFit="1" customWidth="1"/>
    <col min="260" max="260" width="18" style="3" bestFit="1" customWidth="1"/>
    <col min="261" max="264" width="18" style="3" customWidth="1"/>
    <col min="265" max="266" width="0" style="3" hidden="1" customWidth="1"/>
    <col min="267" max="267" width="5" style="3" bestFit="1" customWidth="1"/>
    <col min="268" max="268" width="14.7109375" style="3" bestFit="1" customWidth="1"/>
    <col min="269" max="269" width="13.7109375" style="3" bestFit="1" customWidth="1"/>
    <col min="270" max="512" width="9.140625" style="3"/>
    <col min="513" max="513" width="11.28515625" style="3" customWidth="1"/>
    <col min="514" max="514" width="34.85546875" style="3" bestFit="1" customWidth="1"/>
    <col min="515" max="515" width="7.85546875" style="3" bestFit="1" customWidth="1"/>
    <col min="516" max="516" width="18" style="3" bestFit="1" customWidth="1"/>
    <col min="517" max="520" width="18" style="3" customWidth="1"/>
    <col min="521" max="522" width="0" style="3" hidden="1" customWidth="1"/>
    <col min="523" max="523" width="5" style="3" bestFit="1" customWidth="1"/>
    <col min="524" max="524" width="14.7109375" style="3" bestFit="1" customWidth="1"/>
    <col min="525" max="525" width="13.7109375" style="3" bestFit="1" customWidth="1"/>
    <col min="526" max="768" width="9.140625" style="3"/>
    <col min="769" max="769" width="11.28515625" style="3" customWidth="1"/>
    <col min="770" max="770" width="34.85546875" style="3" bestFit="1" customWidth="1"/>
    <col min="771" max="771" width="7.85546875" style="3" bestFit="1" customWidth="1"/>
    <col min="772" max="772" width="18" style="3" bestFit="1" customWidth="1"/>
    <col min="773" max="776" width="18" style="3" customWidth="1"/>
    <col min="777" max="778" width="0" style="3" hidden="1" customWidth="1"/>
    <col min="779" max="779" width="5" style="3" bestFit="1" customWidth="1"/>
    <col min="780" max="780" width="14.7109375" style="3" bestFit="1" customWidth="1"/>
    <col min="781" max="781" width="13.7109375" style="3" bestFit="1" customWidth="1"/>
    <col min="782" max="1024" width="9.140625" style="3"/>
    <col min="1025" max="1025" width="11.28515625" style="3" customWidth="1"/>
    <col min="1026" max="1026" width="34.85546875" style="3" bestFit="1" customWidth="1"/>
    <col min="1027" max="1027" width="7.85546875" style="3" bestFit="1" customWidth="1"/>
    <col min="1028" max="1028" width="18" style="3" bestFit="1" customWidth="1"/>
    <col min="1029" max="1032" width="18" style="3" customWidth="1"/>
    <col min="1033" max="1034" width="0" style="3" hidden="1" customWidth="1"/>
    <col min="1035" max="1035" width="5" style="3" bestFit="1" customWidth="1"/>
    <col min="1036" max="1036" width="14.7109375" style="3" bestFit="1" customWidth="1"/>
    <col min="1037" max="1037" width="13.7109375" style="3" bestFit="1" customWidth="1"/>
    <col min="1038" max="1280" width="9.140625" style="3"/>
    <col min="1281" max="1281" width="11.28515625" style="3" customWidth="1"/>
    <col min="1282" max="1282" width="34.85546875" style="3" bestFit="1" customWidth="1"/>
    <col min="1283" max="1283" width="7.85546875" style="3" bestFit="1" customWidth="1"/>
    <col min="1284" max="1284" width="18" style="3" bestFit="1" customWidth="1"/>
    <col min="1285" max="1288" width="18" style="3" customWidth="1"/>
    <col min="1289" max="1290" width="0" style="3" hidden="1" customWidth="1"/>
    <col min="1291" max="1291" width="5" style="3" bestFit="1" customWidth="1"/>
    <col min="1292" max="1292" width="14.7109375" style="3" bestFit="1" customWidth="1"/>
    <col min="1293" max="1293" width="13.7109375" style="3" bestFit="1" customWidth="1"/>
    <col min="1294" max="1536" width="9.140625" style="3"/>
    <col min="1537" max="1537" width="11.28515625" style="3" customWidth="1"/>
    <col min="1538" max="1538" width="34.85546875" style="3" bestFit="1" customWidth="1"/>
    <col min="1539" max="1539" width="7.85546875" style="3" bestFit="1" customWidth="1"/>
    <col min="1540" max="1540" width="18" style="3" bestFit="1" customWidth="1"/>
    <col min="1541" max="1544" width="18" style="3" customWidth="1"/>
    <col min="1545" max="1546" width="0" style="3" hidden="1" customWidth="1"/>
    <col min="1547" max="1547" width="5" style="3" bestFit="1" customWidth="1"/>
    <col min="1548" max="1548" width="14.7109375" style="3" bestFit="1" customWidth="1"/>
    <col min="1549" max="1549" width="13.7109375" style="3" bestFit="1" customWidth="1"/>
    <col min="1550" max="1792" width="9.140625" style="3"/>
    <col min="1793" max="1793" width="11.28515625" style="3" customWidth="1"/>
    <col min="1794" max="1794" width="34.85546875" style="3" bestFit="1" customWidth="1"/>
    <col min="1795" max="1795" width="7.85546875" style="3" bestFit="1" customWidth="1"/>
    <col min="1796" max="1796" width="18" style="3" bestFit="1" customWidth="1"/>
    <col min="1797" max="1800" width="18" style="3" customWidth="1"/>
    <col min="1801" max="1802" width="0" style="3" hidden="1" customWidth="1"/>
    <col min="1803" max="1803" width="5" style="3" bestFit="1" customWidth="1"/>
    <col min="1804" max="1804" width="14.7109375" style="3" bestFit="1" customWidth="1"/>
    <col min="1805" max="1805" width="13.7109375" style="3" bestFit="1" customWidth="1"/>
    <col min="1806" max="2048" width="9.140625" style="3"/>
    <col min="2049" max="2049" width="11.28515625" style="3" customWidth="1"/>
    <col min="2050" max="2050" width="34.85546875" style="3" bestFit="1" customWidth="1"/>
    <col min="2051" max="2051" width="7.85546875" style="3" bestFit="1" customWidth="1"/>
    <col min="2052" max="2052" width="18" style="3" bestFit="1" customWidth="1"/>
    <col min="2053" max="2056" width="18" style="3" customWidth="1"/>
    <col min="2057" max="2058" width="0" style="3" hidden="1" customWidth="1"/>
    <col min="2059" max="2059" width="5" style="3" bestFit="1" customWidth="1"/>
    <col min="2060" max="2060" width="14.7109375" style="3" bestFit="1" customWidth="1"/>
    <col min="2061" max="2061" width="13.7109375" style="3" bestFit="1" customWidth="1"/>
    <col min="2062" max="2304" width="9.140625" style="3"/>
    <col min="2305" max="2305" width="11.28515625" style="3" customWidth="1"/>
    <col min="2306" max="2306" width="34.85546875" style="3" bestFit="1" customWidth="1"/>
    <col min="2307" max="2307" width="7.85546875" style="3" bestFit="1" customWidth="1"/>
    <col min="2308" max="2308" width="18" style="3" bestFit="1" customWidth="1"/>
    <col min="2309" max="2312" width="18" style="3" customWidth="1"/>
    <col min="2313" max="2314" width="0" style="3" hidden="1" customWidth="1"/>
    <col min="2315" max="2315" width="5" style="3" bestFit="1" customWidth="1"/>
    <col min="2316" max="2316" width="14.7109375" style="3" bestFit="1" customWidth="1"/>
    <col min="2317" max="2317" width="13.7109375" style="3" bestFit="1" customWidth="1"/>
    <col min="2318" max="2560" width="9.140625" style="3"/>
    <col min="2561" max="2561" width="11.28515625" style="3" customWidth="1"/>
    <col min="2562" max="2562" width="34.85546875" style="3" bestFit="1" customWidth="1"/>
    <col min="2563" max="2563" width="7.85546875" style="3" bestFit="1" customWidth="1"/>
    <col min="2564" max="2564" width="18" style="3" bestFit="1" customWidth="1"/>
    <col min="2565" max="2568" width="18" style="3" customWidth="1"/>
    <col min="2569" max="2570" width="0" style="3" hidden="1" customWidth="1"/>
    <col min="2571" max="2571" width="5" style="3" bestFit="1" customWidth="1"/>
    <col min="2572" max="2572" width="14.7109375" style="3" bestFit="1" customWidth="1"/>
    <col min="2573" max="2573" width="13.7109375" style="3" bestFit="1" customWidth="1"/>
    <col min="2574" max="2816" width="9.140625" style="3"/>
    <col min="2817" max="2817" width="11.28515625" style="3" customWidth="1"/>
    <col min="2818" max="2818" width="34.85546875" style="3" bestFit="1" customWidth="1"/>
    <col min="2819" max="2819" width="7.85546875" style="3" bestFit="1" customWidth="1"/>
    <col min="2820" max="2820" width="18" style="3" bestFit="1" customWidth="1"/>
    <col min="2821" max="2824" width="18" style="3" customWidth="1"/>
    <col min="2825" max="2826" width="0" style="3" hidden="1" customWidth="1"/>
    <col min="2827" max="2827" width="5" style="3" bestFit="1" customWidth="1"/>
    <col min="2828" max="2828" width="14.7109375" style="3" bestFit="1" customWidth="1"/>
    <col min="2829" max="2829" width="13.7109375" style="3" bestFit="1" customWidth="1"/>
    <col min="2830" max="3072" width="9.140625" style="3"/>
    <col min="3073" max="3073" width="11.28515625" style="3" customWidth="1"/>
    <col min="3074" max="3074" width="34.85546875" style="3" bestFit="1" customWidth="1"/>
    <col min="3075" max="3075" width="7.85546875" style="3" bestFit="1" customWidth="1"/>
    <col min="3076" max="3076" width="18" style="3" bestFit="1" customWidth="1"/>
    <col min="3077" max="3080" width="18" style="3" customWidth="1"/>
    <col min="3081" max="3082" width="0" style="3" hidden="1" customWidth="1"/>
    <col min="3083" max="3083" width="5" style="3" bestFit="1" customWidth="1"/>
    <col min="3084" max="3084" width="14.7109375" style="3" bestFit="1" customWidth="1"/>
    <col min="3085" max="3085" width="13.7109375" style="3" bestFit="1" customWidth="1"/>
    <col min="3086" max="3328" width="9.140625" style="3"/>
    <col min="3329" max="3329" width="11.28515625" style="3" customWidth="1"/>
    <col min="3330" max="3330" width="34.85546875" style="3" bestFit="1" customWidth="1"/>
    <col min="3331" max="3331" width="7.85546875" style="3" bestFit="1" customWidth="1"/>
    <col min="3332" max="3332" width="18" style="3" bestFit="1" customWidth="1"/>
    <col min="3333" max="3336" width="18" style="3" customWidth="1"/>
    <col min="3337" max="3338" width="0" style="3" hidden="1" customWidth="1"/>
    <col min="3339" max="3339" width="5" style="3" bestFit="1" customWidth="1"/>
    <col min="3340" max="3340" width="14.7109375" style="3" bestFit="1" customWidth="1"/>
    <col min="3341" max="3341" width="13.7109375" style="3" bestFit="1" customWidth="1"/>
    <col min="3342" max="3584" width="9.140625" style="3"/>
    <col min="3585" max="3585" width="11.28515625" style="3" customWidth="1"/>
    <col min="3586" max="3586" width="34.85546875" style="3" bestFit="1" customWidth="1"/>
    <col min="3587" max="3587" width="7.85546875" style="3" bestFit="1" customWidth="1"/>
    <col min="3588" max="3588" width="18" style="3" bestFit="1" customWidth="1"/>
    <col min="3589" max="3592" width="18" style="3" customWidth="1"/>
    <col min="3593" max="3594" width="0" style="3" hidden="1" customWidth="1"/>
    <col min="3595" max="3595" width="5" style="3" bestFit="1" customWidth="1"/>
    <col min="3596" max="3596" width="14.7109375" style="3" bestFit="1" customWidth="1"/>
    <col min="3597" max="3597" width="13.7109375" style="3" bestFit="1" customWidth="1"/>
    <col min="3598" max="3840" width="9.140625" style="3"/>
    <col min="3841" max="3841" width="11.28515625" style="3" customWidth="1"/>
    <col min="3842" max="3842" width="34.85546875" style="3" bestFit="1" customWidth="1"/>
    <col min="3843" max="3843" width="7.85546875" style="3" bestFit="1" customWidth="1"/>
    <col min="3844" max="3844" width="18" style="3" bestFit="1" customWidth="1"/>
    <col min="3845" max="3848" width="18" style="3" customWidth="1"/>
    <col min="3849" max="3850" width="0" style="3" hidden="1" customWidth="1"/>
    <col min="3851" max="3851" width="5" style="3" bestFit="1" customWidth="1"/>
    <col min="3852" max="3852" width="14.7109375" style="3" bestFit="1" customWidth="1"/>
    <col min="3853" max="3853" width="13.7109375" style="3" bestFit="1" customWidth="1"/>
    <col min="3854" max="4096" width="9.140625" style="3"/>
    <col min="4097" max="4097" width="11.28515625" style="3" customWidth="1"/>
    <col min="4098" max="4098" width="34.85546875" style="3" bestFit="1" customWidth="1"/>
    <col min="4099" max="4099" width="7.85546875" style="3" bestFit="1" customWidth="1"/>
    <col min="4100" max="4100" width="18" style="3" bestFit="1" customWidth="1"/>
    <col min="4101" max="4104" width="18" style="3" customWidth="1"/>
    <col min="4105" max="4106" width="0" style="3" hidden="1" customWidth="1"/>
    <col min="4107" max="4107" width="5" style="3" bestFit="1" customWidth="1"/>
    <col min="4108" max="4108" width="14.7109375" style="3" bestFit="1" customWidth="1"/>
    <col min="4109" max="4109" width="13.7109375" style="3" bestFit="1" customWidth="1"/>
    <col min="4110" max="4352" width="9.140625" style="3"/>
    <col min="4353" max="4353" width="11.28515625" style="3" customWidth="1"/>
    <col min="4354" max="4354" width="34.85546875" style="3" bestFit="1" customWidth="1"/>
    <col min="4355" max="4355" width="7.85546875" style="3" bestFit="1" customWidth="1"/>
    <col min="4356" max="4356" width="18" style="3" bestFit="1" customWidth="1"/>
    <col min="4357" max="4360" width="18" style="3" customWidth="1"/>
    <col min="4361" max="4362" width="0" style="3" hidden="1" customWidth="1"/>
    <col min="4363" max="4363" width="5" style="3" bestFit="1" customWidth="1"/>
    <col min="4364" max="4364" width="14.7109375" style="3" bestFit="1" customWidth="1"/>
    <col min="4365" max="4365" width="13.7109375" style="3" bestFit="1" customWidth="1"/>
    <col min="4366" max="4608" width="9.140625" style="3"/>
    <col min="4609" max="4609" width="11.28515625" style="3" customWidth="1"/>
    <col min="4610" max="4610" width="34.85546875" style="3" bestFit="1" customWidth="1"/>
    <col min="4611" max="4611" width="7.85546875" style="3" bestFit="1" customWidth="1"/>
    <col min="4612" max="4612" width="18" style="3" bestFit="1" customWidth="1"/>
    <col min="4613" max="4616" width="18" style="3" customWidth="1"/>
    <col min="4617" max="4618" width="0" style="3" hidden="1" customWidth="1"/>
    <col min="4619" max="4619" width="5" style="3" bestFit="1" customWidth="1"/>
    <col min="4620" max="4620" width="14.7109375" style="3" bestFit="1" customWidth="1"/>
    <col min="4621" max="4621" width="13.7109375" style="3" bestFit="1" customWidth="1"/>
    <col min="4622" max="4864" width="9.140625" style="3"/>
    <col min="4865" max="4865" width="11.28515625" style="3" customWidth="1"/>
    <col min="4866" max="4866" width="34.85546875" style="3" bestFit="1" customWidth="1"/>
    <col min="4867" max="4867" width="7.85546875" style="3" bestFit="1" customWidth="1"/>
    <col min="4868" max="4868" width="18" style="3" bestFit="1" customWidth="1"/>
    <col min="4869" max="4872" width="18" style="3" customWidth="1"/>
    <col min="4873" max="4874" width="0" style="3" hidden="1" customWidth="1"/>
    <col min="4875" max="4875" width="5" style="3" bestFit="1" customWidth="1"/>
    <col min="4876" max="4876" width="14.7109375" style="3" bestFit="1" customWidth="1"/>
    <col min="4877" max="4877" width="13.7109375" style="3" bestFit="1" customWidth="1"/>
    <col min="4878" max="5120" width="9.140625" style="3"/>
    <col min="5121" max="5121" width="11.28515625" style="3" customWidth="1"/>
    <col min="5122" max="5122" width="34.85546875" style="3" bestFit="1" customWidth="1"/>
    <col min="5123" max="5123" width="7.85546875" style="3" bestFit="1" customWidth="1"/>
    <col min="5124" max="5124" width="18" style="3" bestFit="1" customWidth="1"/>
    <col min="5125" max="5128" width="18" style="3" customWidth="1"/>
    <col min="5129" max="5130" width="0" style="3" hidden="1" customWidth="1"/>
    <col min="5131" max="5131" width="5" style="3" bestFit="1" customWidth="1"/>
    <col min="5132" max="5132" width="14.7109375" style="3" bestFit="1" customWidth="1"/>
    <col min="5133" max="5133" width="13.7109375" style="3" bestFit="1" customWidth="1"/>
    <col min="5134" max="5376" width="9.140625" style="3"/>
    <col min="5377" max="5377" width="11.28515625" style="3" customWidth="1"/>
    <col min="5378" max="5378" width="34.85546875" style="3" bestFit="1" customWidth="1"/>
    <col min="5379" max="5379" width="7.85546875" style="3" bestFit="1" customWidth="1"/>
    <col min="5380" max="5380" width="18" style="3" bestFit="1" customWidth="1"/>
    <col min="5381" max="5384" width="18" style="3" customWidth="1"/>
    <col min="5385" max="5386" width="0" style="3" hidden="1" customWidth="1"/>
    <col min="5387" max="5387" width="5" style="3" bestFit="1" customWidth="1"/>
    <col min="5388" max="5388" width="14.7109375" style="3" bestFit="1" customWidth="1"/>
    <col min="5389" max="5389" width="13.7109375" style="3" bestFit="1" customWidth="1"/>
    <col min="5390" max="5632" width="9.140625" style="3"/>
    <col min="5633" max="5633" width="11.28515625" style="3" customWidth="1"/>
    <col min="5634" max="5634" width="34.85546875" style="3" bestFit="1" customWidth="1"/>
    <col min="5635" max="5635" width="7.85546875" style="3" bestFit="1" customWidth="1"/>
    <col min="5636" max="5636" width="18" style="3" bestFit="1" customWidth="1"/>
    <col min="5637" max="5640" width="18" style="3" customWidth="1"/>
    <col min="5641" max="5642" width="0" style="3" hidden="1" customWidth="1"/>
    <col min="5643" max="5643" width="5" style="3" bestFit="1" customWidth="1"/>
    <col min="5644" max="5644" width="14.7109375" style="3" bestFit="1" customWidth="1"/>
    <col min="5645" max="5645" width="13.7109375" style="3" bestFit="1" customWidth="1"/>
    <col min="5646" max="5888" width="9.140625" style="3"/>
    <col min="5889" max="5889" width="11.28515625" style="3" customWidth="1"/>
    <col min="5890" max="5890" width="34.85546875" style="3" bestFit="1" customWidth="1"/>
    <col min="5891" max="5891" width="7.85546875" style="3" bestFit="1" customWidth="1"/>
    <col min="5892" max="5892" width="18" style="3" bestFit="1" customWidth="1"/>
    <col min="5893" max="5896" width="18" style="3" customWidth="1"/>
    <col min="5897" max="5898" width="0" style="3" hidden="1" customWidth="1"/>
    <col min="5899" max="5899" width="5" style="3" bestFit="1" customWidth="1"/>
    <col min="5900" max="5900" width="14.7109375" style="3" bestFit="1" customWidth="1"/>
    <col min="5901" max="5901" width="13.7109375" style="3" bestFit="1" customWidth="1"/>
    <col min="5902" max="6144" width="9.140625" style="3"/>
    <col min="6145" max="6145" width="11.28515625" style="3" customWidth="1"/>
    <col min="6146" max="6146" width="34.85546875" style="3" bestFit="1" customWidth="1"/>
    <col min="6147" max="6147" width="7.85546875" style="3" bestFit="1" customWidth="1"/>
    <col min="6148" max="6148" width="18" style="3" bestFit="1" customWidth="1"/>
    <col min="6149" max="6152" width="18" style="3" customWidth="1"/>
    <col min="6153" max="6154" width="0" style="3" hidden="1" customWidth="1"/>
    <col min="6155" max="6155" width="5" style="3" bestFit="1" customWidth="1"/>
    <col min="6156" max="6156" width="14.7109375" style="3" bestFit="1" customWidth="1"/>
    <col min="6157" max="6157" width="13.7109375" style="3" bestFit="1" customWidth="1"/>
    <col min="6158" max="6400" width="9.140625" style="3"/>
    <col min="6401" max="6401" width="11.28515625" style="3" customWidth="1"/>
    <col min="6402" max="6402" width="34.85546875" style="3" bestFit="1" customWidth="1"/>
    <col min="6403" max="6403" width="7.85546875" style="3" bestFit="1" customWidth="1"/>
    <col min="6404" max="6404" width="18" style="3" bestFit="1" customWidth="1"/>
    <col min="6405" max="6408" width="18" style="3" customWidth="1"/>
    <col min="6409" max="6410" width="0" style="3" hidden="1" customWidth="1"/>
    <col min="6411" max="6411" width="5" style="3" bestFit="1" customWidth="1"/>
    <col min="6412" max="6412" width="14.7109375" style="3" bestFit="1" customWidth="1"/>
    <col min="6413" max="6413" width="13.7109375" style="3" bestFit="1" customWidth="1"/>
    <col min="6414" max="6656" width="9.140625" style="3"/>
    <col min="6657" max="6657" width="11.28515625" style="3" customWidth="1"/>
    <col min="6658" max="6658" width="34.85546875" style="3" bestFit="1" customWidth="1"/>
    <col min="6659" max="6659" width="7.85546875" style="3" bestFit="1" customWidth="1"/>
    <col min="6660" max="6660" width="18" style="3" bestFit="1" customWidth="1"/>
    <col min="6661" max="6664" width="18" style="3" customWidth="1"/>
    <col min="6665" max="6666" width="0" style="3" hidden="1" customWidth="1"/>
    <col min="6667" max="6667" width="5" style="3" bestFit="1" customWidth="1"/>
    <col min="6668" max="6668" width="14.7109375" style="3" bestFit="1" customWidth="1"/>
    <col min="6669" max="6669" width="13.7109375" style="3" bestFit="1" customWidth="1"/>
    <col min="6670" max="6912" width="9.140625" style="3"/>
    <col min="6913" max="6913" width="11.28515625" style="3" customWidth="1"/>
    <col min="6914" max="6914" width="34.85546875" style="3" bestFit="1" customWidth="1"/>
    <col min="6915" max="6915" width="7.85546875" style="3" bestFit="1" customWidth="1"/>
    <col min="6916" max="6916" width="18" style="3" bestFit="1" customWidth="1"/>
    <col min="6917" max="6920" width="18" style="3" customWidth="1"/>
    <col min="6921" max="6922" width="0" style="3" hidden="1" customWidth="1"/>
    <col min="6923" max="6923" width="5" style="3" bestFit="1" customWidth="1"/>
    <col min="6924" max="6924" width="14.7109375" style="3" bestFit="1" customWidth="1"/>
    <col min="6925" max="6925" width="13.7109375" style="3" bestFit="1" customWidth="1"/>
    <col min="6926" max="7168" width="9.140625" style="3"/>
    <col min="7169" max="7169" width="11.28515625" style="3" customWidth="1"/>
    <col min="7170" max="7170" width="34.85546875" style="3" bestFit="1" customWidth="1"/>
    <col min="7171" max="7171" width="7.85546875" style="3" bestFit="1" customWidth="1"/>
    <col min="7172" max="7172" width="18" style="3" bestFit="1" customWidth="1"/>
    <col min="7173" max="7176" width="18" style="3" customWidth="1"/>
    <col min="7177" max="7178" width="0" style="3" hidden="1" customWidth="1"/>
    <col min="7179" max="7179" width="5" style="3" bestFit="1" customWidth="1"/>
    <col min="7180" max="7180" width="14.7109375" style="3" bestFit="1" customWidth="1"/>
    <col min="7181" max="7181" width="13.7109375" style="3" bestFit="1" customWidth="1"/>
    <col min="7182" max="7424" width="9.140625" style="3"/>
    <col min="7425" max="7425" width="11.28515625" style="3" customWidth="1"/>
    <col min="7426" max="7426" width="34.85546875" style="3" bestFit="1" customWidth="1"/>
    <col min="7427" max="7427" width="7.85546875" style="3" bestFit="1" customWidth="1"/>
    <col min="7428" max="7428" width="18" style="3" bestFit="1" customWidth="1"/>
    <col min="7429" max="7432" width="18" style="3" customWidth="1"/>
    <col min="7433" max="7434" width="0" style="3" hidden="1" customWidth="1"/>
    <col min="7435" max="7435" width="5" style="3" bestFit="1" customWidth="1"/>
    <col min="7436" max="7436" width="14.7109375" style="3" bestFit="1" customWidth="1"/>
    <col min="7437" max="7437" width="13.7109375" style="3" bestFit="1" customWidth="1"/>
    <col min="7438" max="7680" width="9.140625" style="3"/>
    <col min="7681" max="7681" width="11.28515625" style="3" customWidth="1"/>
    <col min="7682" max="7682" width="34.85546875" style="3" bestFit="1" customWidth="1"/>
    <col min="7683" max="7683" width="7.85546875" style="3" bestFit="1" customWidth="1"/>
    <col min="7684" max="7684" width="18" style="3" bestFit="1" customWidth="1"/>
    <col min="7685" max="7688" width="18" style="3" customWidth="1"/>
    <col min="7689" max="7690" width="0" style="3" hidden="1" customWidth="1"/>
    <col min="7691" max="7691" width="5" style="3" bestFit="1" customWidth="1"/>
    <col min="7692" max="7692" width="14.7109375" style="3" bestFit="1" customWidth="1"/>
    <col min="7693" max="7693" width="13.7109375" style="3" bestFit="1" customWidth="1"/>
    <col min="7694" max="7936" width="9.140625" style="3"/>
    <col min="7937" max="7937" width="11.28515625" style="3" customWidth="1"/>
    <col min="7938" max="7938" width="34.85546875" style="3" bestFit="1" customWidth="1"/>
    <col min="7939" max="7939" width="7.85546875" style="3" bestFit="1" customWidth="1"/>
    <col min="7940" max="7940" width="18" style="3" bestFit="1" customWidth="1"/>
    <col min="7941" max="7944" width="18" style="3" customWidth="1"/>
    <col min="7945" max="7946" width="0" style="3" hidden="1" customWidth="1"/>
    <col min="7947" max="7947" width="5" style="3" bestFit="1" customWidth="1"/>
    <col min="7948" max="7948" width="14.7109375" style="3" bestFit="1" customWidth="1"/>
    <col min="7949" max="7949" width="13.7109375" style="3" bestFit="1" customWidth="1"/>
    <col min="7950" max="8192" width="9.140625" style="3"/>
    <col min="8193" max="8193" width="11.28515625" style="3" customWidth="1"/>
    <col min="8194" max="8194" width="34.85546875" style="3" bestFit="1" customWidth="1"/>
    <col min="8195" max="8195" width="7.85546875" style="3" bestFit="1" customWidth="1"/>
    <col min="8196" max="8196" width="18" style="3" bestFit="1" customWidth="1"/>
    <col min="8197" max="8200" width="18" style="3" customWidth="1"/>
    <col min="8201" max="8202" width="0" style="3" hidden="1" customWidth="1"/>
    <col min="8203" max="8203" width="5" style="3" bestFit="1" customWidth="1"/>
    <col min="8204" max="8204" width="14.7109375" style="3" bestFit="1" customWidth="1"/>
    <col min="8205" max="8205" width="13.7109375" style="3" bestFit="1" customWidth="1"/>
    <col min="8206" max="8448" width="9.140625" style="3"/>
    <col min="8449" max="8449" width="11.28515625" style="3" customWidth="1"/>
    <col min="8450" max="8450" width="34.85546875" style="3" bestFit="1" customWidth="1"/>
    <col min="8451" max="8451" width="7.85546875" style="3" bestFit="1" customWidth="1"/>
    <col min="8452" max="8452" width="18" style="3" bestFit="1" customWidth="1"/>
    <col min="8453" max="8456" width="18" style="3" customWidth="1"/>
    <col min="8457" max="8458" width="0" style="3" hidden="1" customWidth="1"/>
    <col min="8459" max="8459" width="5" style="3" bestFit="1" customWidth="1"/>
    <col min="8460" max="8460" width="14.7109375" style="3" bestFit="1" customWidth="1"/>
    <col min="8461" max="8461" width="13.7109375" style="3" bestFit="1" customWidth="1"/>
    <col min="8462" max="8704" width="9.140625" style="3"/>
    <col min="8705" max="8705" width="11.28515625" style="3" customWidth="1"/>
    <col min="8706" max="8706" width="34.85546875" style="3" bestFit="1" customWidth="1"/>
    <col min="8707" max="8707" width="7.85546875" style="3" bestFit="1" customWidth="1"/>
    <col min="8708" max="8708" width="18" style="3" bestFit="1" customWidth="1"/>
    <col min="8709" max="8712" width="18" style="3" customWidth="1"/>
    <col min="8713" max="8714" width="0" style="3" hidden="1" customWidth="1"/>
    <col min="8715" max="8715" width="5" style="3" bestFit="1" customWidth="1"/>
    <col min="8716" max="8716" width="14.7109375" style="3" bestFit="1" customWidth="1"/>
    <col min="8717" max="8717" width="13.7109375" style="3" bestFit="1" customWidth="1"/>
    <col min="8718" max="8960" width="9.140625" style="3"/>
    <col min="8961" max="8961" width="11.28515625" style="3" customWidth="1"/>
    <col min="8962" max="8962" width="34.85546875" style="3" bestFit="1" customWidth="1"/>
    <col min="8963" max="8963" width="7.85546875" style="3" bestFit="1" customWidth="1"/>
    <col min="8964" max="8964" width="18" style="3" bestFit="1" customWidth="1"/>
    <col min="8965" max="8968" width="18" style="3" customWidth="1"/>
    <col min="8969" max="8970" width="0" style="3" hidden="1" customWidth="1"/>
    <col min="8971" max="8971" width="5" style="3" bestFit="1" customWidth="1"/>
    <col min="8972" max="8972" width="14.7109375" style="3" bestFit="1" customWidth="1"/>
    <col min="8973" max="8973" width="13.7109375" style="3" bestFit="1" customWidth="1"/>
    <col min="8974" max="9216" width="9.140625" style="3"/>
    <col min="9217" max="9217" width="11.28515625" style="3" customWidth="1"/>
    <col min="9218" max="9218" width="34.85546875" style="3" bestFit="1" customWidth="1"/>
    <col min="9219" max="9219" width="7.85546875" style="3" bestFit="1" customWidth="1"/>
    <col min="9220" max="9220" width="18" style="3" bestFit="1" customWidth="1"/>
    <col min="9221" max="9224" width="18" style="3" customWidth="1"/>
    <col min="9225" max="9226" width="0" style="3" hidden="1" customWidth="1"/>
    <col min="9227" max="9227" width="5" style="3" bestFit="1" customWidth="1"/>
    <col min="9228" max="9228" width="14.7109375" style="3" bestFit="1" customWidth="1"/>
    <col min="9229" max="9229" width="13.7109375" style="3" bestFit="1" customWidth="1"/>
    <col min="9230" max="9472" width="9.140625" style="3"/>
    <col min="9473" max="9473" width="11.28515625" style="3" customWidth="1"/>
    <col min="9474" max="9474" width="34.85546875" style="3" bestFit="1" customWidth="1"/>
    <col min="9475" max="9475" width="7.85546875" style="3" bestFit="1" customWidth="1"/>
    <col min="9476" max="9476" width="18" style="3" bestFit="1" customWidth="1"/>
    <col min="9477" max="9480" width="18" style="3" customWidth="1"/>
    <col min="9481" max="9482" width="0" style="3" hidden="1" customWidth="1"/>
    <col min="9483" max="9483" width="5" style="3" bestFit="1" customWidth="1"/>
    <col min="9484" max="9484" width="14.7109375" style="3" bestFit="1" customWidth="1"/>
    <col min="9485" max="9485" width="13.7109375" style="3" bestFit="1" customWidth="1"/>
    <col min="9486" max="9728" width="9.140625" style="3"/>
    <col min="9729" max="9729" width="11.28515625" style="3" customWidth="1"/>
    <col min="9730" max="9730" width="34.85546875" style="3" bestFit="1" customWidth="1"/>
    <col min="9731" max="9731" width="7.85546875" style="3" bestFit="1" customWidth="1"/>
    <col min="9732" max="9732" width="18" style="3" bestFit="1" customWidth="1"/>
    <col min="9733" max="9736" width="18" style="3" customWidth="1"/>
    <col min="9737" max="9738" width="0" style="3" hidden="1" customWidth="1"/>
    <col min="9739" max="9739" width="5" style="3" bestFit="1" customWidth="1"/>
    <col min="9740" max="9740" width="14.7109375" style="3" bestFit="1" customWidth="1"/>
    <col min="9741" max="9741" width="13.7109375" style="3" bestFit="1" customWidth="1"/>
    <col min="9742" max="9984" width="9.140625" style="3"/>
    <col min="9985" max="9985" width="11.28515625" style="3" customWidth="1"/>
    <col min="9986" max="9986" width="34.85546875" style="3" bestFit="1" customWidth="1"/>
    <col min="9987" max="9987" width="7.85546875" style="3" bestFit="1" customWidth="1"/>
    <col min="9988" max="9988" width="18" style="3" bestFit="1" customWidth="1"/>
    <col min="9989" max="9992" width="18" style="3" customWidth="1"/>
    <col min="9993" max="9994" width="0" style="3" hidden="1" customWidth="1"/>
    <col min="9995" max="9995" width="5" style="3" bestFit="1" customWidth="1"/>
    <col min="9996" max="9996" width="14.7109375" style="3" bestFit="1" customWidth="1"/>
    <col min="9997" max="9997" width="13.7109375" style="3" bestFit="1" customWidth="1"/>
    <col min="9998" max="10240" width="9.140625" style="3"/>
    <col min="10241" max="10241" width="11.28515625" style="3" customWidth="1"/>
    <col min="10242" max="10242" width="34.85546875" style="3" bestFit="1" customWidth="1"/>
    <col min="10243" max="10243" width="7.85546875" style="3" bestFit="1" customWidth="1"/>
    <col min="10244" max="10244" width="18" style="3" bestFit="1" customWidth="1"/>
    <col min="10245" max="10248" width="18" style="3" customWidth="1"/>
    <col min="10249" max="10250" width="0" style="3" hidden="1" customWidth="1"/>
    <col min="10251" max="10251" width="5" style="3" bestFit="1" customWidth="1"/>
    <col min="10252" max="10252" width="14.7109375" style="3" bestFit="1" customWidth="1"/>
    <col min="10253" max="10253" width="13.7109375" style="3" bestFit="1" customWidth="1"/>
    <col min="10254" max="10496" width="9.140625" style="3"/>
    <col min="10497" max="10497" width="11.28515625" style="3" customWidth="1"/>
    <col min="10498" max="10498" width="34.85546875" style="3" bestFit="1" customWidth="1"/>
    <col min="10499" max="10499" width="7.85546875" style="3" bestFit="1" customWidth="1"/>
    <col min="10500" max="10500" width="18" style="3" bestFit="1" customWidth="1"/>
    <col min="10501" max="10504" width="18" style="3" customWidth="1"/>
    <col min="10505" max="10506" width="0" style="3" hidden="1" customWidth="1"/>
    <col min="10507" max="10507" width="5" style="3" bestFit="1" customWidth="1"/>
    <col min="10508" max="10508" width="14.7109375" style="3" bestFit="1" customWidth="1"/>
    <col min="10509" max="10509" width="13.7109375" style="3" bestFit="1" customWidth="1"/>
    <col min="10510" max="10752" width="9.140625" style="3"/>
    <col min="10753" max="10753" width="11.28515625" style="3" customWidth="1"/>
    <col min="10754" max="10754" width="34.85546875" style="3" bestFit="1" customWidth="1"/>
    <col min="10755" max="10755" width="7.85546875" style="3" bestFit="1" customWidth="1"/>
    <col min="10756" max="10756" width="18" style="3" bestFit="1" customWidth="1"/>
    <col min="10757" max="10760" width="18" style="3" customWidth="1"/>
    <col min="10761" max="10762" width="0" style="3" hidden="1" customWidth="1"/>
    <col min="10763" max="10763" width="5" style="3" bestFit="1" customWidth="1"/>
    <col min="10764" max="10764" width="14.7109375" style="3" bestFit="1" customWidth="1"/>
    <col min="10765" max="10765" width="13.7109375" style="3" bestFit="1" customWidth="1"/>
    <col min="10766" max="11008" width="9.140625" style="3"/>
    <col min="11009" max="11009" width="11.28515625" style="3" customWidth="1"/>
    <col min="11010" max="11010" width="34.85546875" style="3" bestFit="1" customWidth="1"/>
    <col min="11011" max="11011" width="7.85546875" style="3" bestFit="1" customWidth="1"/>
    <col min="11012" max="11012" width="18" style="3" bestFit="1" customWidth="1"/>
    <col min="11013" max="11016" width="18" style="3" customWidth="1"/>
    <col min="11017" max="11018" width="0" style="3" hidden="1" customWidth="1"/>
    <col min="11019" max="11019" width="5" style="3" bestFit="1" customWidth="1"/>
    <col min="11020" max="11020" width="14.7109375" style="3" bestFit="1" customWidth="1"/>
    <col min="11021" max="11021" width="13.7109375" style="3" bestFit="1" customWidth="1"/>
    <col min="11022" max="11264" width="9.140625" style="3"/>
    <col min="11265" max="11265" width="11.28515625" style="3" customWidth="1"/>
    <col min="11266" max="11266" width="34.85546875" style="3" bestFit="1" customWidth="1"/>
    <col min="11267" max="11267" width="7.85546875" style="3" bestFit="1" customWidth="1"/>
    <col min="11268" max="11268" width="18" style="3" bestFit="1" customWidth="1"/>
    <col min="11269" max="11272" width="18" style="3" customWidth="1"/>
    <col min="11273" max="11274" width="0" style="3" hidden="1" customWidth="1"/>
    <col min="11275" max="11275" width="5" style="3" bestFit="1" customWidth="1"/>
    <col min="11276" max="11276" width="14.7109375" style="3" bestFit="1" customWidth="1"/>
    <col min="11277" max="11277" width="13.7109375" style="3" bestFit="1" customWidth="1"/>
    <col min="11278" max="11520" width="9.140625" style="3"/>
    <col min="11521" max="11521" width="11.28515625" style="3" customWidth="1"/>
    <col min="11522" max="11522" width="34.85546875" style="3" bestFit="1" customWidth="1"/>
    <col min="11523" max="11523" width="7.85546875" style="3" bestFit="1" customWidth="1"/>
    <col min="11524" max="11524" width="18" style="3" bestFit="1" customWidth="1"/>
    <col min="11525" max="11528" width="18" style="3" customWidth="1"/>
    <col min="11529" max="11530" width="0" style="3" hidden="1" customWidth="1"/>
    <col min="11531" max="11531" width="5" style="3" bestFit="1" customWidth="1"/>
    <col min="11532" max="11532" width="14.7109375" style="3" bestFit="1" customWidth="1"/>
    <col min="11533" max="11533" width="13.7109375" style="3" bestFit="1" customWidth="1"/>
    <col min="11534" max="11776" width="9.140625" style="3"/>
    <col min="11777" max="11777" width="11.28515625" style="3" customWidth="1"/>
    <col min="11778" max="11778" width="34.85546875" style="3" bestFit="1" customWidth="1"/>
    <col min="11779" max="11779" width="7.85546875" style="3" bestFit="1" customWidth="1"/>
    <col min="11780" max="11780" width="18" style="3" bestFit="1" customWidth="1"/>
    <col min="11781" max="11784" width="18" style="3" customWidth="1"/>
    <col min="11785" max="11786" width="0" style="3" hidden="1" customWidth="1"/>
    <col min="11787" max="11787" width="5" style="3" bestFit="1" customWidth="1"/>
    <col min="11788" max="11788" width="14.7109375" style="3" bestFit="1" customWidth="1"/>
    <col min="11789" max="11789" width="13.7109375" style="3" bestFit="1" customWidth="1"/>
    <col min="11790" max="12032" width="9.140625" style="3"/>
    <col min="12033" max="12033" width="11.28515625" style="3" customWidth="1"/>
    <col min="12034" max="12034" width="34.85546875" style="3" bestFit="1" customWidth="1"/>
    <col min="12035" max="12035" width="7.85546875" style="3" bestFit="1" customWidth="1"/>
    <col min="12036" max="12036" width="18" style="3" bestFit="1" customWidth="1"/>
    <col min="12037" max="12040" width="18" style="3" customWidth="1"/>
    <col min="12041" max="12042" width="0" style="3" hidden="1" customWidth="1"/>
    <col min="12043" max="12043" width="5" style="3" bestFit="1" customWidth="1"/>
    <col min="12044" max="12044" width="14.7109375" style="3" bestFit="1" customWidth="1"/>
    <col min="12045" max="12045" width="13.7109375" style="3" bestFit="1" customWidth="1"/>
    <col min="12046" max="12288" width="9.140625" style="3"/>
    <col min="12289" max="12289" width="11.28515625" style="3" customWidth="1"/>
    <col min="12290" max="12290" width="34.85546875" style="3" bestFit="1" customWidth="1"/>
    <col min="12291" max="12291" width="7.85546875" style="3" bestFit="1" customWidth="1"/>
    <col min="12292" max="12292" width="18" style="3" bestFit="1" customWidth="1"/>
    <col min="12293" max="12296" width="18" style="3" customWidth="1"/>
    <col min="12297" max="12298" width="0" style="3" hidden="1" customWidth="1"/>
    <col min="12299" max="12299" width="5" style="3" bestFit="1" customWidth="1"/>
    <col min="12300" max="12300" width="14.7109375" style="3" bestFit="1" customWidth="1"/>
    <col min="12301" max="12301" width="13.7109375" style="3" bestFit="1" customWidth="1"/>
    <col min="12302" max="12544" width="9.140625" style="3"/>
    <col min="12545" max="12545" width="11.28515625" style="3" customWidth="1"/>
    <col min="12546" max="12546" width="34.85546875" style="3" bestFit="1" customWidth="1"/>
    <col min="12547" max="12547" width="7.85546875" style="3" bestFit="1" customWidth="1"/>
    <col min="12548" max="12548" width="18" style="3" bestFit="1" customWidth="1"/>
    <col min="12549" max="12552" width="18" style="3" customWidth="1"/>
    <col min="12553" max="12554" width="0" style="3" hidden="1" customWidth="1"/>
    <col min="12555" max="12555" width="5" style="3" bestFit="1" customWidth="1"/>
    <col min="12556" max="12556" width="14.7109375" style="3" bestFit="1" customWidth="1"/>
    <col min="12557" max="12557" width="13.7109375" style="3" bestFit="1" customWidth="1"/>
    <col min="12558" max="12800" width="9.140625" style="3"/>
    <col min="12801" max="12801" width="11.28515625" style="3" customWidth="1"/>
    <col min="12802" max="12802" width="34.85546875" style="3" bestFit="1" customWidth="1"/>
    <col min="12803" max="12803" width="7.85546875" style="3" bestFit="1" customWidth="1"/>
    <col min="12804" max="12804" width="18" style="3" bestFit="1" customWidth="1"/>
    <col min="12805" max="12808" width="18" style="3" customWidth="1"/>
    <col min="12809" max="12810" width="0" style="3" hidden="1" customWidth="1"/>
    <col min="12811" max="12811" width="5" style="3" bestFit="1" customWidth="1"/>
    <col min="12812" max="12812" width="14.7109375" style="3" bestFit="1" customWidth="1"/>
    <col min="12813" max="12813" width="13.7109375" style="3" bestFit="1" customWidth="1"/>
    <col min="12814" max="13056" width="9.140625" style="3"/>
    <col min="13057" max="13057" width="11.28515625" style="3" customWidth="1"/>
    <col min="13058" max="13058" width="34.85546875" style="3" bestFit="1" customWidth="1"/>
    <col min="13059" max="13059" width="7.85546875" style="3" bestFit="1" customWidth="1"/>
    <col min="13060" max="13060" width="18" style="3" bestFit="1" customWidth="1"/>
    <col min="13061" max="13064" width="18" style="3" customWidth="1"/>
    <col min="13065" max="13066" width="0" style="3" hidden="1" customWidth="1"/>
    <col min="13067" max="13067" width="5" style="3" bestFit="1" customWidth="1"/>
    <col min="13068" max="13068" width="14.7109375" style="3" bestFit="1" customWidth="1"/>
    <col min="13069" max="13069" width="13.7109375" style="3" bestFit="1" customWidth="1"/>
    <col min="13070" max="13312" width="9.140625" style="3"/>
    <col min="13313" max="13313" width="11.28515625" style="3" customWidth="1"/>
    <col min="13314" max="13314" width="34.85546875" style="3" bestFit="1" customWidth="1"/>
    <col min="13315" max="13315" width="7.85546875" style="3" bestFit="1" customWidth="1"/>
    <col min="13316" max="13316" width="18" style="3" bestFit="1" customWidth="1"/>
    <col min="13317" max="13320" width="18" style="3" customWidth="1"/>
    <col min="13321" max="13322" width="0" style="3" hidden="1" customWidth="1"/>
    <col min="13323" max="13323" width="5" style="3" bestFit="1" customWidth="1"/>
    <col min="13324" max="13324" width="14.7109375" style="3" bestFit="1" customWidth="1"/>
    <col min="13325" max="13325" width="13.7109375" style="3" bestFit="1" customWidth="1"/>
    <col min="13326" max="13568" width="9.140625" style="3"/>
    <col min="13569" max="13569" width="11.28515625" style="3" customWidth="1"/>
    <col min="13570" max="13570" width="34.85546875" style="3" bestFit="1" customWidth="1"/>
    <col min="13571" max="13571" width="7.85546875" style="3" bestFit="1" customWidth="1"/>
    <col min="13572" max="13572" width="18" style="3" bestFit="1" customWidth="1"/>
    <col min="13573" max="13576" width="18" style="3" customWidth="1"/>
    <col min="13577" max="13578" width="0" style="3" hidden="1" customWidth="1"/>
    <col min="13579" max="13579" width="5" style="3" bestFit="1" customWidth="1"/>
    <col min="13580" max="13580" width="14.7109375" style="3" bestFit="1" customWidth="1"/>
    <col min="13581" max="13581" width="13.7109375" style="3" bestFit="1" customWidth="1"/>
    <col min="13582" max="13824" width="9.140625" style="3"/>
    <col min="13825" max="13825" width="11.28515625" style="3" customWidth="1"/>
    <col min="13826" max="13826" width="34.85546875" style="3" bestFit="1" customWidth="1"/>
    <col min="13827" max="13827" width="7.85546875" style="3" bestFit="1" customWidth="1"/>
    <col min="13828" max="13828" width="18" style="3" bestFit="1" customWidth="1"/>
    <col min="13829" max="13832" width="18" style="3" customWidth="1"/>
    <col min="13833" max="13834" width="0" style="3" hidden="1" customWidth="1"/>
    <col min="13835" max="13835" width="5" style="3" bestFit="1" customWidth="1"/>
    <col min="13836" max="13836" width="14.7109375" style="3" bestFit="1" customWidth="1"/>
    <col min="13837" max="13837" width="13.7109375" style="3" bestFit="1" customWidth="1"/>
    <col min="13838" max="14080" width="9.140625" style="3"/>
    <col min="14081" max="14081" width="11.28515625" style="3" customWidth="1"/>
    <col min="14082" max="14082" width="34.85546875" style="3" bestFit="1" customWidth="1"/>
    <col min="14083" max="14083" width="7.85546875" style="3" bestFit="1" customWidth="1"/>
    <col min="14084" max="14084" width="18" style="3" bestFit="1" customWidth="1"/>
    <col min="14085" max="14088" width="18" style="3" customWidth="1"/>
    <col min="14089" max="14090" width="0" style="3" hidden="1" customWidth="1"/>
    <col min="14091" max="14091" width="5" style="3" bestFit="1" customWidth="1"/>
    <col min="14092" max="14092" width="14.7109375" style="3" bestFit="1" customWidth="1"/>
    <col min="14093" max="14093" width="13.7109375" style="3" bestFit="1" customWidth="1"/>
    <col min="14094" max="14336" width="9.140625" style="3"/>
    <col min="14337" max="14337" width="11.28515625" style="3" customWidth="1"/>
    <col min="14338" max="14338" width="34.85546875" style="3" bestFit="1" customWidth="1"/>
    <col min="14339" max="14339" width="7.85546875" style="3" bestFit="1" customWidth="1"/>
    <col min="14340" max="14340" width="18" style="3" bestFit="1" customWidth="1"/>
    <col min="14341" max="14344" width="18" style="3" customWidth="1"/>
    <col min="14345" max="14346" width="0" style="3" hidden="1" customWidth="1"/>
    <col min="14347" max="14347" width="5" style="3" bestFit="1" customWidth="1"/>
    <col min="14348" max="14348" width="14.7109375" style="3" bestFit="1" customWidth="1"/>
    <col min="14349" max="14349" width="13.7109375" style="3" bestFit="1" customWidth="1"/>
    <col min="14350" max="14592" width="9.140625" style="3"/>
    <col min="14593" max="14593" width="11.28515625" style="3" customWidth="1"/>
    <col min="14594" max="14594" width="34.85546875" style="3" bestFit="1" customWidth="1"/>
    <col min="14595" max="14595" width="7.85546875" style="3" bestFit="1" customWidth="1"/>
    <col min="14596" max="14596" width="18" style="3" bestFit="1" customWidth="1"/>
    <col min="14597" max="14600" width="18" style="3" customWidth="1"/>
    <col min="14601" max="14602" width="0" style="3" hidden="1" customWidth="1"/>
    <col min="14603" max="14603" width="5" style="3" bestFit="1" customWidth="1"/>
    <col min="14604" max="14604" width="14.7109375" style="3" bestFit="1" customWidth="1"/>
    <col min="14605" max="14605" width="13.7109375" style="3" bestFit="1" customWidth="1"/>
    <col min="14606" max="14848" width="9.140625" style="3"/>
    <col min="14849" max="14849" width="11.28515625" style="3" customWidth="1"/>
    <col min="14850" max="14850" width="34.85546875" style="3" bestFit="1" customWidth="1"/>
    <col min="14851" max="14851" width="7.85546875" style="3" bestFit="1" customWidth="1"/>
    <col min="14852" max="14852" width="18" style="3" bestFit="1" customWidth="1"/>
    <col min="14853" max="14856" width="18" style="3" customWidth="1"/>
    <col min="14857" max="14858" width="0" style="3" hidden="1" customWidth="1"/>
    <col min="14859" max="14859" width="5" style="3" bestFit="1" customWidth="1"/>
    <col min="14860" max="14860" width="14.7109375" style="3" bestFit="1" customWidth="1"/>
    <col min="14861" max="14861" width="13.7109375" style="3" bestFit="1" customWidth="1"/>
    <col min="14862" max="15104" width="9.140625" style="3"/>
    <col min="15105" max="15105" width="11.28515625" style="3" customWidth="1"/>
    <col min="15106" max="15106" width="34.85546875" style="3" bestFit="1" customWidth="1"/>
    <col min="15107" max="15107" width="7.85546875" style="3" bestFit="1" customWidth="1"/>
    <col min="15108" max="15108" width="18" style="3" bestFit="1" customWidth="1"/>
    <col min="15109" max="15112" width="18" style="3" customWidth="1"/>
    <col min="15113" max="15114" width="0" style="3" hidden="1" customWidth="1"/>
    <col min="15115" max="15115" width="5" style="3" bestFit="1" customWidth="1"/>
    <col min="15116" max="15116" width="14.7109375" style="3" bestFit="1" customWidth="1"/>
    <col min="15117" max="15117" width="13.7109375" style="3" bestFit="1" customWidth="1"/>
    <col min="15118" max="15360" width="9.140625" style="3"/>
    <col min="15361" max="15361" width="11.28515625" style="3" customWidth="1"/>
    <col min="15362" max="15362" width="34.85546875" style="3" bestFit="1" customWidth="1"/>
    <col min="15363" max="15363" width="7.85546875" style="3" bestFit="1" customWidth="1"/>
    <col min="15364" max="15364" width="18" style="3" bestFit="1" customWidth="1"/>
    <col min="15365" max="15368" width="18" style="3" customWidth="1"/>
    <col min="15369" max="15370" width="0" style="3" hidden="1" customWidth="1"/>
    <col min="15371" max="15371" width="5" style="3" bestFit="1" customWidth="1"/>
    <col min="15372" max="15372" width="14.7109375" style="3" bestFit="1" customWidth="1"/>
    <col min="15373" max="15373" width="13.7109375" style="3" bestFit="1" customWidth="1"/>
    <col min="15374" max="15616" width="9.140625" style="3"/>
    <col min="15617" max="15617" width="11.28515625" style="3" customWidth="1"/>
    <col min="15618" max="15618" width="34.85546875" style="3" bestFit="1" customWidth="1"/>
    <col min="15619" max="15619" width="7.85546875" style="3" bestFit="1" customWidth="1"/>
    <col min="15620" max="15620" width="18" style="3" bestFit="1" customWidth="1"/>
    <col min="15621" max="15624" width="18" style="3" customWidth="1"/>
    <col min="15625" max="15626" width="0" style="3" hidden="1" customWidth="1"/>
    <col min="15627" max="15627" width="5" style="3" bestFit="1" customWidth="1"/>
    <col min="15628" max="15628" width="14.7109375" style="3" bestFit="1" customWidth="1"/>
    <col min="15629" max="15629" width="13.7109375" style="3" bestFit="1" customWidth="1"/>
    <col min="15630" max="15872" width="9.140625" style="3"/>
    <col min="15873" max="15873" width="11.28515625" style="3" customWidth="1"/>
    <col min="15874" max="15874" width="34.85546875" style="3" bestFit="1" customWidth="1"/>
    <col min="15875" max="15875" width="7.85546875" style="3" bestFit="1" customWidth="1"/>
    <col min="15876" max="15876" width="18" style="3" bestFit="1" customWidth="1"/>
    <col min="15877" max="15880" width="18" style="3" customWidth="1"/>
    <col min="15881" max="15882" width="0" style="3" hidden="1" customWidth="1"/>
    <col min="15883" max="15883" width="5" style="3" bestFit="1" customWidth="1"/>
    <col min="15884" max="15884" width="14.7109375" style="3" bestFit="1" customWidth="1"/>
    <col min="15885" max="15885" width="13.7109375" style="3" bestFit="1" customWidth="1"/>
    <col min="15886" max="16128" width="9.140625" style="3"/>
    <col min="16129" max="16129" width="11.28515625" style="3" customWidth="1"/>
    <col min="16130" max="16130" width="34.85546875" style="3" bestFit="1" customWidth="1"/>
    <col min="16131" max="16131" width="7.85546875" style="3" bestFit="1" customWidth="1"/>
    <col min="16132" max="16132" width="18" style="3" bestFit="1" customWidth="1"/>
    <col min="16133" max="16136" width="18" style="3" customWidth="1"/>
    <col min="16137" max="16138" width="0" style="3" hidden="1" customWidth="1"/>
    <col min="16139" max="16139" width="5" style="3" bestFit="1" customWidth="1"/>
    <col min="16140" max="16140" width="14.7109375" style="3" bestFit="1" customWidth="1"/>
    <col min="16141" max="16141" width="13.7109375" style="3" bestFit="1" customWidth="1"/>
    <col min="16142" max="16384" width="9.140625" style="3"/>
  </cols>
  <sheetData>
    <row r="1" spans="1:14" x14ac:dyDescent="0.2">
      <c r="A1" s="1"/>
      <c r="B1" s="374" t="s">
        <v>18</v>
      </c>
      <c r="C1" s="374"/>
      <c r="D1" s="374"/>
      <c r="E1" s="374"/>
      <c r="F1" s="374"/>
      <c r="G1" s="374"/>
      <c r="H1" s="374"/>
      <c r="I1" s="374"/>
      <c r="J1" s="37"/>
    </row>
    <row r="2" spans="1:14" x14ac:dyDescent="0.2">
      <c r="A2" s="1"/>
      <c r="B2" s="373" t="s">
        <v>19</v>
      </c>
      <c r="C2" s="373"/>
      <c r="D2" s="373"/>
      <c r="E2" s="373"/>
      <c r="F2" s="373"/>
      <c r="G2" s="373"/>
      <c r="H2" s="373"/>
      <c r="I2" s="373"/>
      <c r="J2" s="51"/>
    </row>
    <row r="3" spans="1:14" x14ac:dyDescent="0.2">
      <c r="A3" s="1"/>
      <c r="B3" s="373" t="s">
        <v>20</v>
      </c>
      <c r="C3" s="373"/>
      <c r="D3" s="373"/>
      <c r="E3" s="373"/>
      <c r="F3" s="373"/>
      <c r="G3" s="373"/>
      <c r="H3" s="373"/>
      <c r="I3" s="373"/>
      <c r="J3" s="51"/>
    </row>
    <row r="4" spans="1:14" x14ac:dyDescent="0.2">
      <c r="A4" s="1"/>
      <c r="B4" s="373" t="s">
        <v>87</v>
      </c>
      <c r="C4" s="373"/>
      <c r="D4" s="373"/>
      <c r="E4" s="373"/>
      <c r="F4" s="373"/>
      <c r="G4" s="373"/>
      <c r="H4" s="373"/>
      <c r="I4" s="373"/>
      <c r="J4" s="51"/>
    </row>
    <row r="5" spans="1:14" x14ac:dyDescent="0.2">
      <c r="A5" s="1"/>
      <c r="B5" s="373" t="s">
        <v>44</v>
      </c>
      <c r="C5" s="373"/>
      <c r="D5" s="373"/>
      <c r="E5" s="373"/>
      <c r="F5" s="373"/>
      <c r="G5" s="373"/>
      <c r="H5" s="373"/>
      <c r="I5" s="373"/>
      <c r="J5" s="51"/>
    </row>
    <row r="6" spans="1:14" ht="13.5" thickBot="1" x14ac:dyDescent="0.25">
      <c r="A6" s="1"/>
      <c r="B6" s="4"/>
      <c r="C6" s="4"/>
      <c r="D6" s="4"/>
      <c r="E6" s="5"/>
      <c r="F6" s="5"/>
      <c r="G6" s="5"/>
      <c r="H6" s="5"/>
      <c r="I6" s="6"/>
      <c r="J6" s="54"/>
    </row>
    <row r="7" spans="1:14" ht="13.5" thickBot="1" x14ac:dyDescent="0.25">
      <c r="B7" s="8" t="s">
        <v>22</v>
      </c>
      <c r="C7" s="8" t="s">
        <v>23</v>
      </c>
      <c r="D7" s="9" t="s">
        <v>45</v>
      </c>
      <c r="E7" s="8">
        <v>2012</v>
      </c>
      <c r="F7" s="8">
        <v>2013</v>
      </c>
      <c r="G7" s="8" t="s">
        <v>88</v>
      </c>
      <c r="H7" s="8" t="s">
        <v>86</v>
      </c>
      <c r="I7" s="8" t="s">
        <v>85</v>
      </c>
      <c r="J7" s="8" t="s">
        <v>47</v>
      </c>
      <c r="K7" s="10" t="s">
        <v>1</v>
      </c>
    </row>
    <row r="8" spans="1:14" s="7" customFormat="1" ht="15" x14ac:dyDescent="0.25">
      <c r="B8" s="13">
        <v>1133</v>
      </c>
      <c r="C8" s="14" t="s">
        <v>35</v>
      </c>
      <c r="D8" s="27">
        <v>1000</v>
      </c>
      <c r="E8" s="11">
        <v>0</v>
      </c>
      <c r="F8" s="30">
        <v>-55796</v>
      </c>
      <c r="G8" s="30">
        <f>F8</f>
        <v>-55796</v>
      </c>
      <c r="H8" s="30">
        <v>7191.200000000048</v>
      </c>
      <c r="I8" s="30">
        <v>-57548</v>
      </c>
      <c r="J8" s="30">
        <v>-106908.00000000039</v>
      </c>
      <c r="K8" s="15"/>
      <c r="L8" s="12"/>
      <c r="M8" s="16"/>
      <c r="N8" s="16"/>
    </row>
    <row r="9" spans="1:14" s="7" customFormat="1" ht="15.75" thickBot="1" x14ac:dyDescent="0.3">
      <c r="B9" s="13">
        <v>1135</v>
      </c>
      <c r="C9" s="14" t="s">
        <v>36</v>
      </c>
      <c r="D9" s="27">
        <v>1000</v>
      </c>
      <c r="E9" s="11">
        <v>0</v>
      </c>
      <c r="F9" s="30">
        <v>-4458.3</v>
      </c>
      <c r="G9" s="30">
        <f>F9</f>
        <v>-4458.3</v>
      </c>
      <c r="H9" s="30">
        <v>-103492.89999999997</v>
      </c>
      <c r="I9" s="30">
        <v>-28320</v>
      </c>
      <c r="J9" s="30">
        <v>-7527.9999999999854</v>
      </c>
      <c r="K9" s="28"/>
      <c r="L9" s="12"/>
      <c r="M9" s="16"/>
      <c r="N9" s="16"/>
    </row>
    <row r="10" spans="1:14" s="17" customFormat="1" ht="13.5" thickBot="1" x14ac:dyDescent="0.25">
      <c r="B10" s="18" t="s">
        <v>43</v>
      </c>
      <c r="C10" s="18"/>
      <c r="D10" s="19"/>
      <c r="E10" s="20">
        <f t="shared" ref="E10:J10" si="0">SUM(E8:E9)</f>
        <v>0</v>
      </c>
      <c r="F10" s="20">
        <f t="shared" si="0"/>
        <v>-60254.3</v>
      </c>
      <c r="G10" s="20">
        <f t="shared" si="0"/>
        <v>-60254.3</v>
      </c>
      <c r="H10" s="20">
        <f t="shared" si="0"/>
        <v>-96301.699999999924</v>
      </c>
      <c r="I10" s="20">
        <f t="shared" si="0"/>
        <v>-85868</v>
      </c>
      <c r="J10" s="20">
        <f t="shared" si="0"/>
        <v>-114436.00000000038</v>
      </c>
      <c r="K10" s="21"/>
      <c r="L10" s="22"/>
      <c r="M10" s="22"/>
      <c r="N10" s="22"/>
    </row>
    <row r="11" spans="1:14" ht="13.5" thickBot="1" x14ac:dyDescent="0.25"/>
    <row r="12" spans="1:14" ht="13.5" thickBot="1" x14ac:dyDescent="0.25">
      <c r="B12" s="23" t="s">
        <v>46</v>
      </c>
      <c r="C12" s="24"/>
      <c r="D12" s="24"/>
      <c r="E12" s="24"/>
      <c r="F12" s="55">
        <v>-60254.3</v>
      </c>
      <c r="G12" s="55"/>
      <c r="H12" s="24"/>
      <c r="I12" s="25"/>
      <c r="J12" s="25"/>
      <c r="K12" s="26"/>
    </row>
  </sheetData>
  <mergeCells count="5">
    <mergeCell ref="B1:I1"/>
    <mergeCell ref="B2:I2"/>
    <mergeCell ref="B3:I3"/>
    <mergeCell ref="B4:I4"/>
    <mergeCell ref="B5:I5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H5:L5"/>
  <sheetViews>
    <sheetView showGridLines="0" zoomScale="115" zoomScaleNormal="115" workbookViewId="0">
      <selection activeCell="K14" sqref="K14"/>
    </sheetView>
  </sheetViews>
  <sheetFormatPr defaultRowHeight="15" x14ac:dyDescent="0.25"/>
  <cols>
    <col min="8" max="8" width="8.7109375" customWidth="1"/>
    <col min="12" max="12" width="4.28515625" customWidth="1"/>
  </cols>
  <sheetData>
    <row r="5" spans="8:12" ht="26.25" x14ac:dyDescent="0.4">
      <c r="H5" s="88" t="s">
        <v>110</v>
      </c>
      <c r="L5" s="89" t="s">
        <v>111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C53"/>
  <sheetViews>
    <sheetView topLeftCell="A34" workbookViewId="0">
      <selection activeCell="A45" sqref="A45"/>
    </sheetView>
  </sheetViews>
  <sheetFormatPr defaultRowHeight="15" x14ac:dyDescent="0.25"/>
  <cols>
    <col min="2" max="2" width="30.7109375" bestFit="1" customWidth="1"/>
  </cols>
  <sheetData>
    <row r="1" spans="1:3" x14ac:dyDescent="0.25">
      <c r="A1">
        <v>1111</v>
      </c>
      <c r="B1" t="s">
        <v>95</v>
      </c>
      <c r="C1" t="s">
        <v>122</v>
      </c>
    </row>
    <row r="2" spans="1:3" x14ac:dyDescent="0.25">
      <c r="A2">
        <v>1161</v>
      </c>
      <c r="B2" t="s">
        <v>58</v>
      </c>
      <c r="C2" t="s">
        <v>121</v>
      </c>
    </row>
    <row r="3" spans="1:3" x14ac:dyDescent="0.25">
      <c r="A3">
        <v>1162</v>
      </c>
      <c r="B3" t="s">
        <v>61</v>
      </c>
      <c r="C3" t="s">
        <v>121</v>
      </c>
    </row>
    <row r="4" spans="1:3" x14ac:dyDescent="0.25">
      <c r="A4">
        <v>1163</v>
      </c>
      <c r="B4" t="s">
        <v>56</v>
      </c>
      <c r="C4" t="s">
        <v>121</v>
      </c>
    </row>
    <row r="5" spans="1:3" x14ac:dyDescent="0.25">
      <c r="A5">
        <v>1164</v>
      </c>
      <c r="B5" t="s">
        <v>62</v>
      </c>
      <c r="C5" t="s">
        <v>121</v>
      </c>
    </row>
    <row r="6" spans="1:3" x14ac:dyDescent="0.25">
      <c r="A6">
        <v>1174</v>
      </c>
      <c r="B6" t="s">
        <v>102</v>
      </c>
      <c r="C6" t="s">
        <v>122</v>
      </c>
    </row>
    <row r="7" spans="1:3" x14ac:dyDescent="0.25">
      <c r="A7">
        <v>1160</v>
      </c>
      <c r="B7" t="s">
        <v>103</v>
      </c>
      <c r="C7" t="s">
        <v>121</v>
      </c>
    </row>
    <row r="8" spans="1:3" x14ac:dyDescent="0.25">
      <c r="A8">
        <v>1167</v>
      </c>
      <c r="B8" t="s">
        <v>104</v>
      </c>
      <c r="C8" t="s">
        <v>121</v>
      </c>
    </row>
    <row r="9" spans="1:3" x14ac:dyDescent="0.25">
      <c r="A9">
        <v>1182</v>
      </c>
      <c r="B9" t="s">
        <v>112</v>
      </c>
      <c r="C9" t="s">
        <v>121</v>
      </c>
    </row>
    <row r="10" spans="1:3" x14ac:dyDescent="0.25">
      <c r="A10">
        <v>3154</v>
      </c>
      <c r="B10" t="s">
        <v>63</v>
      </c>
      <c r="C10" t="s">
        <v>121</v>
      </c>
    </row>
    <row r="11" spans="1:3" x14ac:dyDescent="0.25">
      <c r="A11">
        <v>3155</v>
      </c>
      <c r="B11" t="s">
        <v>59</v>
      </c>
      <c r="C11" t="s">
        <v>121</v>
      </c>
    </row>
    <row r="12" spans="1:3" x14ac:dyDescent="0.25">
      <c r="A12">
        <v>1113</v>
      </c>
      <c r="B12" t="s">
        <v>64</v>
      </c>
      <c r="C12" t="s">
        <v>121</v>
      </c>
    </row>
    <row r="13" spans="1:3" x14ac:dyDescent="0.25">
      <c r="A13">
        <v>1172</v>
      </c>
      <c r="B13" t="s">
        <v>107</v>
      </c>
      <c r="C13" t="s">
        <v>121</v>
      </c>
    </row>
    <row r="14" spans="1:3" x14ac:dyDescent="0.25">
      <c r="A14">
        <v>1180</v>
      </c>
      <c r="B14" t="s">
        <v>113</v>
      </c>
      <c r="C14" t="s">
        <v>122</v>
      </c>
    </row>
    <row r="15" spans="1:3" x14ac:dyDescent="0.25">
      <c r="A15">
        <v>1179</v>
      </c>
      <c r="B15" t="s">
        <v>109</v>
      </c>
      <c r="C15" t="s">
        <v>122</v>
      </c>
    </row>
    <row r="16" spans="1:3" x14ac:dyDescent="0.25">
      <c r="A16">
        <v>4328</v>
      </c>
      <c r="B16" t="s">
        <v>106</v>
      </c>
      <c r="C16" t="s">
        <v>122</v>
      </c>
    </row>
    <row r="17" spans="1:3" x14ac:dyDescent="0.25">
      <c r="A17">
        <v>1121</v>
      </c>
      <c r="B17" t="s">
        <v>65</v>
      </c>
      <c r="C17" t="s">
        <v>121</v>
      </c>
    </row>
    <row r="18" spans="1:3" x14ac:dyDescent="0.25">
      <c r="A18">
        <v>1133</v>
      </c>
      <c r="B18" t="s">
        <v>66</v>
      </c>
      <c r="C18" t="s">
        <v>122</v>
      </c>
    </row>
    <row r="19" spans="1:3" x14ac:dyDescent="0.25">
      <c r="A19">
        <v>1134</v>
      </c>
      <c r="B19" t="s">
        <v>67</v>
      </c>
      <c r="C19" t="s">
        <v>122</v>
      </c>
    </row>
    <row r="20" spans="1:3" x14ac:dyDescent="0.25">
      <c r="A20">
        <v>1135</v>
      </c>
      <c r="B20" t="s">
        <v>68</v>
      </c>
      <c r="C20" t="s">
        <v>122</v>
      </c>
    </row>
    <row r="21" spans="1:3" x14ac:dyDescent="0.25">
      <c r="A21">
        <v>1140</v>
      </c>
      <c r="B21" t="s">
        <v>69</v>
      </c>
      <c r="C21" t="s">
        <v>122</v>
      </c>
    </row>
    <row r="22" spans="1:3" x14ac:dyDescent="0.25">
      <c r="A22">
        <v>1141</v>
      </c>
      <c r="B22" t="s">
        <v>69</v>
      </c>
      <c r="C22" t="s">
        <v>122</v>
      </c>
    </row>
    <row r="23" spans="1:3" x14ac:dyDescent="0.25">
      <c r="A23">
        <v>2218</v>
      </c>
      <c r="B23" t="s">
        <v>70</v>
      </c>
      <c r="C23" t="s">
        <v>122</v>
      </c>
    </row>
    <row r="24" spans="1:3" x14ac:dyDescent="0.25">
      <c r="A24">
        <v>2223</v>
      </c>
      <c r="B24" t="s">
        <v>5</v>
      </c>
      <c r="C24" t="s">
        <v>122</v>
      </c>
    </row>
    <row r="25" spans="1:3" x14ac:dyDescent="0.25">
      <c r="A25">
        <v>3112</v>
      </c>
      <c r="B25" t="s">
        <v>6</v>
      </c>
      <c r="C25" t="s">
        <v>122</v>
      </c>
    </row>
    <row r="26" spans="1:3" x14ac:dyDescent="0.25">
      <c r="A26">
        <v>3119</v>
      </c>
      <c r="B26" t="s">
        <v>8</v>
      </c>
      <c r="C26" t="s">
        <v>122</v>
      </c>
    </row>
    <row r="27" spans="1:3" x14ac:dyDescent="0.25">
      <c r="A27">
        <v>1171</v>
      </c>
      <c r="B27" t="s">
        <v>120</v>
      </c>
      <c r="C27" t="s">
        <v>122</v>
      </c>
    </row>
    <row r="28" spans="1:3" x14ac:dyDescent="0.25">
      <c r="A28">
        <v>3131</v>
      </c>
      <c r="B28" t="s">
        <v>9</v>
      </c>
      <c r="C28" t="s">
        <v>122</v>
      </c>
    </row>
    <row r="29" spans="1:3" x14ac:dyDescent="0.25">
      <c r="A29">
        <v>4315</v>
      </c>
      <c r="B29" t="s">
        <v>10</v>
      </c>
      <c r="C29" t="s">
        <v>122</v>
      </c>
    </row>
    <row r="30" spans="1:3" x14ac:dyDescent="0.25">
      <c r="A30">
        <v>3151</v>
      </c>
      <c r="B30" t="s">
        <v>71</v>
      </c>
      <c r="C30" t="s">
        <v>122</v>
      </c>
    </row>
    <row r="31" spans="1:3" x14ac:dyDescent="0.25">
      <c r="A31">
        <v>1258</v>
      </c>
      <c r="B31" t="s">
        <v>89</v>
      </c>
      <c r="C31" t="s">
        <v>122</v>
      </c>
    </row>
    <row r="32" spans="1:3" x14ac:dyDescent="0.25">
      <c r="A32">
        <v>2242</v>
      </c>
      <c r="B32" t="s">
        <v>90</v>
      </c>
      <c r="C32" t="s">
        <v>122</v>
      </c>
    </row>
    <row r="33" spans="1:3" x14ac:dyDescent="0.25">
      <c r="A33">
        <v>2248</v>
      </c>
      <c r="B33" t="s">
        <v>114</v>
      </c>
      <c r="C33" t="s">
        <v>122</v>
      </c>
    </row>
    <row r="34" spans="1:3" x14ac:dyDescent="0.25">
      <c r="A34">
        <v>2243</v>
      </c>
      <c r="B34" t="s">
        <v>105</v>
      </c>
      <c r="C34" t="s">
        <v>121</v>
      </c>
    </row>
    <row r="35" spans="1:3" x14ac:dyDescent="0.25">
      <c r="A35">
        <v>2241</v>
      </c>
      <c r="B35" t="s">
        <v>91</v>
      </c>
      <c r="C35" t="s">
        <v>122</v>
      </c>
    </row>
    <row r="36" spans="1:3" x14ac:dyDescent="0.25">
      <c r="A36">
        <v>1169</v>
      </c>
      <c r="B36" t="s">
        <v>97</v>
      </c>
      <c r="C36" t="s">
        <v>122</v>
      </c>
    </row>
    <row r="37" spans="1:3" x14ac:dyDescent="0.25">
      <c r="A37">
        <v>3148</v>
      </c>
      <c r="B37" t="s">
        <v>98</v>
      </c>
      <c r="C37" t="s">
        <v>122</v>
      </c>
    </row>
    <row r="38" spans="1:3" x14ac:dyDescent="0.25">
      <c r="A38">
        <v>1213</v>
      </c>
      <c r="B38" t="s">
        <v>92</v>
      </c>
      <c r="C38" t="s">
        <v>122</v>
      </c>
    </row>
    <row r="39" spans="1:3" x14ac:dyDescent="0.25">
      <c r="A39">
        <v>4329</v>
      </c>
      <c r="B39" t="s">
        <v>115</v>
      </c>
      <c r="C39" t="s">
        <v>122</v>
      </c>
    </row>
    <row r="40" spans="1:3" x14ac:dyDescent="0.25">
      <c r="A40">
        <v>1187</v>
      </c>
      <c r="B40" t="s">
        <v>116</v>
      </c>
      <c r="C40" t="s">
        <v>122</v>
      </c>
    </row>
    <row r="41" spans="1:3" x14ac:dyDescent="0.25">
      <c r="A41">
        <v>3220</v>
      </c>
      <c r="B41" t="s">
        <v>117</v>
      </c>
      <c r="C41" t="s">
        <v>122</v>
      </c>
    </row>
    <row r="42" spans="1:3" x14ac:dyDescent="0.25">
      <c r="A42">
        <v>1265</v>
      </c>
      <c r="B42" t="s">
        <v>118</v>
      </c>
      <c r="C42" t="s">
        <v>121</v>
      </c>
    </row>
    <row r="43" spans="1:3" x14ac:dyDescent="0.25">
      <c r="A43">
        <v>1267</v>
      </c>
      <c r="B43" t="s">
        <v>119</v>
      </c>
      <c r="C43" t="s">
        <v>122</v>
      </c>
    </row>
    <row r="44" spans="1:3" x14ac:dyDescent="0.25">
      <c r="A44">
        <v>1116</v>
      </c>
      <c r="B44" t="s">
        <v>48</v>
      </c>
      <c r="C44" t="s">
        <v>121</v>
      </c>
    </row>
    <row r="45" spans="1:3" x14ac:dyDescent="0.25">
      <c r="A45">
        <v>1184</v>
      </c>
      <c r="B45" t="s">
        <v>48</v>
      </c>
      <c r="C45" t="s">
        <v>121</v>
      </c>
    </row>
    <row r="46" spans="1:3" x14ac:dyDescent="0.25">
      <c r="A46">
        <v>1254</v>
      </c>
      <c r="B46" t="s">
        <v>72</v>
      </c>
      <c r="C46" t="s">
        <v>121</v>
      </c>
    </row>
    <row r="47" spans="1:3" x14ac:dyDescent="0.25">
      <c r="A47">
        <v>3153</v>
      </c>
      <c r="B47" t="s">
        <v>93</v>
      </c>
      <c r="C47" t="s">
        <v>121</v>
      </c>
    </row>
    <row r="48" spans="1:3" x14ac:dyDescent="0.25">
      <c r="A48">
        <v>1129</v>
      </c>
      <c r="B48" t="s">
        <v>73</v>
      </c>
      <c r="C48" t="s">
        <v>121</v>
      </c>
    </row>
    <row r="49" spans="1:3" x14ac:dyDescent="0.25">
      <c r="A49">
        <v>3138</v>
      </c>
      <c r="B49" t="s">
        <v>12</v>
      </c>
      <c r="C49" t="s">
        <v>121</v>
      </c>
    </row>
    <row r="50" spans="1:3" x14ac:dyDescent="0.25">
      <c r="A50">
        <v>3411</v>
      </c>
      <c r="B50" t="s">
        <v>74</v>
      </c>
      <c r="C50" t="s">
        <v>121</v>
      </c>
    </row>
    <row r="51" spans="1:3" x14ac:dyDescent="0.25">
      <c r="A51">
        <v>1228</v>
      </c>
      <c r="B51" t="s">
        <v>14</v>
      </c>
      <c r="C51" t="s">
        <v>121</v>
      </c>
    </row>
    <row r="52" spans="1:3" x14ac:dyDescent="0.25">
      <c r="A52">
        <v>1253</v>
      </c>
      <c r="B52" t="s">
        <v>15</v>
      </c>
      <c r="C52" t="s">
        <v>121</v>
      </c>
    </row>
    <row r="53" spans="1:3" x14ac:dyDescent="0.25">
      <c r="A53">
        <v>2217</v>
      </c>
      <c r="B53" t="s">
        <v>70</v>
      </c>
      <c r="C53" t="s">
        <v>122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AC3B9BEDEAB84A934022677A18752F" ma:contentTypeVersion="10" ma:contentTypeDescription="Create a new document." ma:contentTypeScope="" ma:versionID="516c5cf102e343eb6d6c6153ae895911">
  <xsd:schema xmlns:xsd="http://www.w3.org/2001/XMLSchema" xmlns:xs="http://www.w3.org/2001/XMLSchema" xmlns:p="http://schemas.microsoft.com/office/2006/metadata/properties" xmlns:ns3="95a70e14-0c1b-4a0c-b4db-df6283d67c6e" targetNamespace="http://schemas.microsoft.com/office/2006/metadata/properties" ma:root="true" ma:fieldsID="03e8c8772a99c69a3bff38e9286f19de" ns3:_="">
    <xsd:import namespace="95a70e14-0c1b-4a0c-b4db-df6283d67c6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a70e14-0c1b-4a0c-b4db-df6283d67c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44D5719-995C-484B-8CAB-D9E5ED289B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F57DDB3-9429-4250-BF43-C8DEA48CDF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5a70e14-0c1b-4a0c-b4db-df6283d67c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8B8C620-48E7-47B7-8D45-89921C589C83}">
  <ds:schemaRefs>
    <ds:schemaRef ds:uri="95a70e14-0c1b-4a0c-b4db-df6283d67c6e"/>
    <ds:schemaRef ds:uri="http://www.w3.org/XML/1998/namespace"/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Provision</vt:lpstr>
      <vt:lpstr>Working</vt:lpstr>
      <vt:lpstr>Sheet4</vt:lpstr>
      <vt:lpstr>Sheet2</vt:lpstr>
      <vt:lpstr>2409004</vt:lpstr>
      <vt:lpstr>2406252</vt:lpstr>
      <vt:lpstr>Sheet1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2021-01-20T07:42:57Z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c33b77-d4bc-4b15-a2e9-6ac282c648ad_Enabled">
    <vt:lpwstr>True</vt:lpwstr>
  </property>
  <property fmtid="{D5CDD505-2E9C-101B-9397-08002B2CF9AE}" pid="3" name="MSIP_Label_7fc33b77-d4bc-4b15-a2e9-6ac282c648ad_SiteId">
    <vt:lpwstr>f35425af-4755-4e0c-b1bb-b3cb9f1c6afd</vt:lpwstr>
  </property>
  <property fmtid="{D5CDD505-2E9C-101B-9397-08002B2CF9AE}" pid="4" name="MSIP_Label_7fc33b77-d4bc-4b15-a2e9-6ac282c648ad_Owner">
    <vt:lpwstr>198385@tatasteel.com</vt:lpwstr>
  </property>
  <property fmtid="{D5CDD505-2E9C-101B-9397-08002B2CF9AE}" pid="5" name="MSIP_Label_7fc33b77-d4bc-4b15-a2e9-6ac282c648ad_SetDate">
    <vt:lpwstr>2019-03-29T12:54:57.8483699Z</vt:lpwstr>
  </property>
  <property fmtid="{D5CDD505-2E9C-101B-9397-08002B2CF9AE}" pid="6" name="MSIP_Label_7fc33b77-d4bc-4b15-a2e9-6ac282c648ad_Name">
    <vt:lpwstr>Public</vt:lpwstr>
  </property>
  <property fmtid="{D5CDD505-2E9C-101B-9397-08002B2CF9AE}" pid="7" name="MSIP_Label_7fc33b77-d4bc-4b15-a2e9-6ac282c648ad_Application">
    <vt:lpwstr>Microsoft Azure Information Protection</vt:lpwstr>
  </property>
  <property fmtid="{D5CDD505-2E9C-101B-9397-08002B2CF9AE}" pid="8" name="MSIP_Label_7fc33b77-d4bc-4b15-a2e9-6ac282c648ad_Extended_MSFT_Method">
    <vt:lpwstr>Automatic</vt:lpwstr>
  </property>
  <property fmtid="{D5CDD505-2E9C-101B-9397-08002B2CF9AE}" pid="9" name="Sensitivity">
    <vt:lpwstr>Public</vt:lpwstr>
  </property>
  <property fmtid="{D5CDD505-2E9C-101B-9397-08002B2CF9AE}" pid="10" name="ContentTypeId">
    <vt:lpwstr>0x0101004AAC3B9BEDEAB84A934022677A18752F</vt:lpwstr>
  </property>
</Properties>
</file>