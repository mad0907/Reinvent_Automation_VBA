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nmun.a.das\Downloads\code (1)\code\"/>
    </mc:Choice>
  </mc:AlternateContent>
  <xr:revisionPtr revIDLastSave="0" documentId="13_ncr:1_{CE9CA7FB-4096-4719-A0E3-D93E4BFB9076}" xr6:coauthVersionLast="47" xr6:coauthVersionMax="47" xr10:uidLastSave="{00000000-0000-0000-0000-000000000000}"/>
  <bookViews>
    <workbookView minimized="1" xWindow="10530" yWindow="1230" windowWidth="9010" windowHeight="9190" firstSheet="1" activeTab="1" xr2:uid="{00000000-000D-0000-FFFF-FFFF00000000}"/>
  </bookViews>
  <sheets>
    <sheet name="BOM" sheetId="1" r:id="rId1"/>
    <sheet name="ARC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" l="1"/>
  <c r="J2" i="2"/>
</calcChain>
</file>

<file path=xl/sharedStrings.xml><?xml version="1.0" encoding="utf-8"?>
<sst xmlns="http://schemas.openxmlformats.org/spreadsheetml/2006/main" count="73" uniqueCount="66">
  <si>
    <t xml:space="preserve">Cabling Request No </t>
  </si>
  <si>
    <t>Parent Ticket No</t>
  </si>
  <si>
    <t>Cost Center</t>
  </si>
  <si>
    <t>BOM</t>
  </si>
  <si>
    <t>ARC</t>
  </si>
  <si>
    <t>Valid from</t>
  </si>
  <si>
    <t>Valid To</t>
  </si>
  <si>
    <t>Bill Amount</t>
  </si>
  <si>
    <t>Validation Comment</t>
  </si>
  <si>
    <t>Remarks</t>
  </si>
  <si>
    <t>Processing Date</t>
  </si>
  <si>
    <t>ARC Avl Amount</t>
  </si>
  <si>
    <t>BOM Date</t>
  </si>
  <si>
    <t>User Name</t>
  </si>
  <si>
    <t>User Dept</t>
  </si>
  <si>
    <t>Phone No</t>
  </si>
  <si>
    <t>Email</t>
  </si>
  <si>
    <t>Job Desc</t>
  </si>
  <si>
    <t>NetWork / Draw No</t>
  </si>
  <si>
    <t>Router Diag No</t>
  </si>
  <si>
    <t>Working Site</t>
  </si>
  <si>
    <t>Material / Service Order No</t>
  </si>
  <si>
    <t>Item No</t>
  </si>
  <si>
    <t>Make</t>
  </si>
  <si>
    <t>Service No</t>
  </si>
  <si>
    <t>UMC</t>
  </si>
  <si>
    <t>UOM</t>
  </si>
  <si>
    <t>Qty</t>
  </si>
  <si>
    <t>Rate</t>
  </si>
  <si>
    <t>Amount</t>
  </si>
  <si>
    <t>ARC Bill</t>
  </si>
  <si>
    <t>Required By Date</t>
  </si>
  <si>
    <t>Service Now Status</t>
  </si>
  <si>
    <t>LastRow</t>
  </si>
  <si>
    <t>FOD Status</t>
  </si>
  <si>
    <t>DO Number</t>
  </si>
  <si>
    <t>Unique Dos</t>
  </si>
  <si>
    <t>FOD Created Date</t>
  </si>
  <si>
    <t xml:space="preserve">Unique Service No </t>
  </si>
  <si>
    <t>Item Found in Easy Buy</t>
  </si>
  <si>
    <t>Approver</t>
  </si>
  <si>
    <t>BOM Call No &amp; Date</t>
  </si>
  <si>
    <t>CAB00010458</t>
  </si>
  <si>
    <t>C-24963</t>
  </si>
  <si>
    <t>BOM/TSL/LASETEK/2457874/20-21</t>
  </si>
  <si>
    <t>19-02-2021</t>
  </si>
  <si>
    <t>4700087030/121</t>
  </si>
  <si>
    <t>4700086924/122</t>
  </si>
  <si>
    <t>2457874 Dated : 19-06-2020</t>
  </si>
  <si>
    <t>User Name:     Mr. Mant Kumar</t>
  </si>
  <si>
    <t>Department:    TSRDS</t>
  </si>
  <si>
    <t>Phone Number:  8210679168</t>
  </si>
  <si>
    <t>Email ID of User:        mant.kumar@tsrds.org</t>
  </si>
  <si>
    <t>NA</t>
  </si>
  <si>
    <t>1.012.2020</t>
  </si>
  <si>
    <t>01.12.2020</t>
  </si>
  <si>
    <t>30.11.2023</t>
  </si>
  <si>
    <t>Ok</t>
  </si>
  <si>
    <t>6186A0341</t>
  </si>
  <si>
    <t>Roll</t>
  </si>
  <si>
    <t>COMP05150</t>
  </si>
  <si>
    <t>Meter</t>
  </si>
  <si>
    <t xml:space="preserve"> UTP Replace at userlocation.</t>
  </si>
  <si>
    <t xml:space="preserve"> TSRDS</t>
  </si>
  <si>
    <t>Waiting for DO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</si>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</sst>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yy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0" fontId="2" fillId="2" borderId="0" xfId="0" applyFont="1" applyFill="1"/>
    <xf numFmtId="49" fontId="2" fillId="2" borderId="0" xfId="0" applyNumberFormat="1" applyFont="1" applyFill="1"/>
    <xf numFmtId="164" fontId="2" fillId="2" borderId="0" xfId="0" applyNumberFormat="1" applyFont="1" applyFill="1"/>
    <xf numFmtId="0" fontId="1" fillId="2" borderId="0" xfId="0" applyFont="1" applyFill="1" applyAlignment="1">
      <alignment wrapText="1"/>
    </xf>
    <xf numFmtId="0" fontId="0" fillId="0" borderId="0" xfId="0" applyAlignment="1">
      <alignment wrapText="1"/>
    </xf>
    <xf numFmtId="2" fontId="2" fillId="2" borderId="0" xfId="0" applyNumberFormat="1" applyFont="1" applyFill="1"/>
    <xf numFmtId="0" fontId="0" fillId="0" borderId="0" xfId="0" applyFill="1"/>
    <xf numFmtId="49" fontId="0" fillId="0" borderId="0" xfId="0" applyNumberFormat="1" applyFill="1"/>
    <xf numFmtId="2" fontId="0" fillId="0" borderId="0" xfId="0" applyNumberFormat="1" applyFill="1"/>
    <xf numFmtId="164" fontId="0" fillId="0" borderId="0" xfId="0" applyNumberFormat="1" applyFill="1"/>
    <xf numFmtId="1" fontId="2" fillId="2" borderId="0" xfId="0" applyNumberFormat="1" applyFont="1" applyFill="1"/>
    <xf numFmtId="1" fontId="0" fillId="0" borderId="0" xfId="0" applyNumberFormat="1" applyFill="1"/>
    <xf numFmtId="2" fontId="0" fillId="0" borderId="0" xfId="0" applyNumberFormat="1"/>
    <xf numFmtId="2" fontId="1" fillId="2" borderId="0" xfId="0" applyNumberFormat="1" applyFont="1" applyFill="1"/>
    <xf numFmtId="0" fontId="0" fillId="3" borderId="0" xfId="0" applyFill="1" applyAlignment="1">
      <alignment wrapText="1"/>
    </xf>
    <xf numFmtId="0" fontId="0" fillId="4" borderId="0" xfId="0" applyFill="1"/>
    <xf numFmtId="4" fontId="0" fillId="0" borderId="0" xfId="0" applyNumberFormat="1" applyFill="1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/>
    <xf numFmtId="15" fontId="0" fillId="0" borderId="0" xfId="0" applyNumberFormat="1"/>
  </cellXfs>
  <cellStyles count="1">
    <cellStyle name="Normal" xfId="0" builtinId="0"/>
  </cellStyles>
  <dxfs count="3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"/>
  <sheetViews>
    <sheetView topLeftCell="V1" workbookViewId="0">
      <selection activeCell="V3" sqref="V3"/>
    </sheetView>
  </sheetViews>
  <sheetFormatPr defaultRowHeight="14.5" x14ac:dyDescent="0.35"/>
  <cols>
    <col min="1" max="1" width="14" bestFit="1" customWidth="1"/>
    <col min="2" max="2" width="17.453125" bestFit="1" customWidth="1"/>
    <col min="3" max="3" width="14.7265625" bestFit="1" customWidth="1"/>
    <col min="4" max="4" width="10.54296875" bestFit="1" customWidth="1"/>
    <col min="5" max="5" width="27.54296875" customWidth="1"/>
    <col min="6" max="6" width="16.453125" customWidth="1"/>
    <col min="7" max="7" width="23.26953125" customWidth="1"/>
    <col min="8" max="8" width="14.1796875" customWidth="1"/>
    <col min="9" max="9" width="12.81640625" customWidth="1"/>
    <col min="10" max="10" width="26.7265625" style="14" customWidth="1"/>
    <col min="11" max="11" width="33.1796875" style="14" customWidth="1"/>
    <col min="12" max="12" width="28" style="14" customWidth="1"/>
    <col min="13" max="13" width="19.7265625" customWidth="1"/>
    <col min="14" max="21" width="19.7265625" style="6" customWidth="1"/>
    <col min="22" max="23" width="20.54296875" style="6" customWidth="1"/>
    <col min="24" max="24" width="25.54296875" style="6" customWidth="1"/>
    <col min="25" max="25" width="16.54296875" customWidth="1"/>
  </cols>
  <sheetData>
    <row r="1" spans="1:25" ht="24" customHeight="1" x14ac:dyDescent="0.35">
      <c r="A1" s="1" t="s">
        <v>10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12</v>
      </c>
      <c r="G1" s="1" t="s">
        <v>4</v>
      </c>
      <c r="H1" s="1" t="s">
        <v>5</v>
      </c>
      <c r="I1" s="1" t="s">
        <v>6</v>
      </c>
      <c r="J1" s="15" t="s">
        <v>30</v>
      </c>
      <c r="K1" s="15" t="s">
        <v>7</v>
      </c>
      <c r="L1" s="15" t="s">
        <v>11</v>
      </c>
      <c r="M1" s="1" t="s">
        <v>41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8</v>
      </c>
      <c r="W1" s="5" t="s">
        <v>32</v>
      </c>
      <c r="X1" s="5" t="s">
        <v>9</v>
      </c>
      <c r="Y1" s="5" t="s">
        <v>40</v>
      </c>
    </row>
    <row r="2" spans="1:25" ht="45" customHeight="1" x14ac:dyDescent="0.35">
      <c r="A2" s="22">
        <v>44383</v>
      </c>
      <c r="B2" s="21" t="s">
        <v>42</v>
      </c>
      <c r="C2" s="21">
        <v>2457874</v>
      </c>
      <c r="D2" s="21" t="s">
        <v>43</v>
      </c>
      <c r="E2" s="21" t="s">
        <v>44</v>
      </c>
      <c r="F2" s="21" t="s">
        <v>45</v>
      </c>
      <c r="G2" t="s">
        <v>46</v>
      </c>
      <c r="H2" t="s">
        <v>54</v>
      </c>
      <c r="I2" t="s">
        <v>56</v>
      </c>
      <c r="J2" s="14">
        <v>540.54</v>
      </c>
      <c r="K2" s="20">
        <v>1200.54</v>
      </c>
      <c r="L2" s="14">
        <v>34657862.829999998</v>
      </c>
      <c r="M2" s="21" t="s">
        <v>48</v>
      </c>
      <c r="N2" s="19" t="s">
        <v>49</v>
      </c>
      <c r="O2" s="19" t="s">
        <v>50</v>
      </c>
      <c r="P2" s="19" t="s">
        <v>51</v>
      </c>
      <c r="Q2" s="19" t="s">
        <v>52</v>
      </c>
      <c r="R2" s="19" t="s">
        <v>62</v>
      </c>
      <c r="S2" s="19" t="s">
        <v>53</v>
      </c>
      <c r="T2" s="19" t="s">
        <v>53</v>
      </c>
      <c r="U2" s="19" t="s">
        <v>63</v>
      </c>
      <c r="V2" s="16" t="s">
        <v>57</v>
      </c>
      <c r="W2" s="6" t="s">
        <v>64</v>
      </c>
      <c r="Y2">
        <v>157642</v>
      </c>
    </row>
    <row r="3" spans="1:25" x14ac:dyDescent="0.35">
      <c r="A3" s="22"/>
      <c r="B3" s="21"/>
      <c r="C3" s="21"/>
      <c r="D3" s="21"/>
      <c r="E3" s="21"/>
      <c r="F3" s="21"/>
      <c r="G3" t="s">
        <v>47</v>
      </c>
      <c r="H3" t="s">
        <v>55</v>
      </c>
      <c r="I3" t="s">
        <v>56</v>
      </c>
      <c r="J3" s="14">
        <v>660</v>
      </c>
      <c r="K3" s="20"/>
      <c r="L3" s="14">
        <v>9019084.8000000007</v>
      </c>
      <c r="M3" s="21"/>
      <c r="N3" s="19"/>
      <c r="O3" s="19"/>
      <c r="P3" s="19"/>
      <c r="Q3" s="19"/>
      <c r="R3" s="19"/>
      <c r="S3" s="19"/>
      <c r="T3" s="19"/>
      <c r="U3" s="19"/>
      <c r="V3" s="16" t="s">
        <v>57</v>
      </c>
    </row>
  </sheetData>
  <mergeCells count="16">
    <mergeCell ref="F2:F3"/>
    <mergeCell ref="A2:A3"/>
    <mergeCell ref="B2:B3"/>
    <mergeCell ref="C2:C3"/>
    <mergeCell ref="D2:D3"/>
    <mergeCell ref="E2:E3"/>
    <mergeCell ref="R2:R3"/>
    <mergeCell ref="S2:S3"/>
    <mergeCell ref="T2:T3"/>
    <mergeCell ref="U2:U3"/>
    <mergeCell ref="K2:K3"/>
    <mergeCell ref="M2:M3"/>
    <mergeCell ref="N2:N3"/>
    <mergeCell ref="O2:O3"/>
    <mergeCell ref="P2:P3"/>
    <mergeCell ref="Q2:Q3"/>
  </mergeCells>
  <conditionalFormatting sqref="X2:X1048576">
    <cfRule type="cellIs" dxfId="2" priority="1" operator="greater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"/>
  <sheetViews>
    <sheetView tabSelected="1" topLeftCell="O1" zoomScale="98" workbookViewId="0">
      <selection activeCell="Q3" sqref="Q3"/>
    </sheetView>
  </sheetViews>
  <sheetFormatPr defaultColWidth="9.1796875" defaultRowHeight="14.5" x14ac:dyDescent="0.35"/>
  <cols>
    <col min="1" max="1" width="23.7265625" style="8" bestFit="1" customWidth="1"/>
    <col min="2" max="2" width="8.81640625" style="13"/>
    <col min="3" max="3" width="18" style="8" customWidth="1"/>
    <col min="4" max="4" width="16.453125" style="8" customWidth="1"/>
    <col min="5" max="5" width="13.7265625" style="8" customWidth="1"/>
    <col min="6" max="6" width="12.1796875" style="10" customWidth="1"/>
    <col min="7" max="7" width="16.26953125" style="8" customWidth="1"/>
    <col min="8" max="8" width="9.81640625" style="8" customWidth="1"/>
    <col min="9" max="9" width="17.7265625" style="8" customWidth="1"/>
    <col min="10" max="10" width="15.81640625" style="11" bestFit="1" customWidth="1"/>
    <col min="11" max="11" width="9.1796875" style="8"/>
    <col min="12" max="12" width="17.54296875" style="9" customWidth="1"/>
    <col min="13" max="13" width="28.1796875" style="9" customWidth="1"/>
    <col min="14" max="14" width="27.54296875" style="9" customWidth="1"/>
    <col min="15" max="15" width="41.453125" style="9" customWidth="1"/>
    <col min="16" max="16" width="18.1796875" style="8" bestFit="1" customWidth="1"/>
    <col min="17" max="17" width="21.7265625" style="8" bestFit="1" customWidth="1"/>
    <col min="18" max="16384" width="9.1796875" style="8"/>
  </cols>
  <sheetData>
    <row r="1" spans="1:17" customFormat="1" x14ac:dyDescent="0.35">
      <c r="A1" s="2" t="s">
        <v>21</v>
      </c>
      <c r="B1" s="12" t="s">
        <v>22</v>
      </c>
      <c r="C1" s="2" t="s">
        <v>23</v>
      </c>
      <c r="D1" s="2" t="s">
        <v>24</v>
      </c>
      <c r="E1" s="2" t="s">
        <v>25</v>
      </c>
      <c r="F1" s="7" t="s">
        <v>27</v>
      </c>
      <c r="G1" s="2" t="s">
        <v>26</v>
      </c>
      <c r="H1" s="2" t="s">
        <v>28</v>
      </c>
      <c r="I1" s="2" t="s">
        <v>29</v>
      </c>
      <c r="J1" s="4" t="s">
        <v>31</v>
      </c>
      <c r="K1" s="2" t="s">
        <v>33</v>
      </c>
      <c r="L1" s="3" t="s">
        <v>34</v>
      </c>
      <c r="M1" s="3" t="s">
        <v>35</v>
      </c>
      <c r="N1" s="3" t="s">
        <v>37</v>
      </c>
      <c r="O1" s="3" t="s">
        <v>36</v>
      </c>
      <c r="P1" s="3" t="s">
        <v>38</v>
      </c>
      <c r="Q1" s="3" t="s">
        <v>39</v>
      </c>
    </row>
    <row r="2" spans="1:17" x14ac:dyDescent="0.35">
      <c r="A2" s="17" t="s">
        <v>46</v>
      </c>
      <c r="B2" s="13">
        <v>1</v>
      </c>
      <c r="E2" s="8" t="s">
        <v>58</v>
      </c>
      <c r="F2" s="10">
        <v>0.09</v>
      </c>
      <c r="G2" s="8" t="s">
        <v>59</v>
      </c>
      <c r="H2" s="18">
        <v>6006</v>
      </c>
      <c r="I2" s="8">
        <v>540.54</v>
      </c>
      <c r="J2" s="11">
        <f ca="1">TODAY()+30</f>
        <v>44881</v>
      </c>
      <c r="K2" s="8">
        <v>3</v>
      </c>
      <c r="P2" s="8" t="s">
        <v>60</v>
      </c>
      <c r="Q2" s="8" t="s">
        <v>65</v>
      </c>
    </row>
    <row r="3" spans="1:17" x14ac:dyDescent="0.35">
      <c r="A3" s="17" t="s">
        <v>47</v>
      </c>
      <c r="B3" s="13">
        <v>2</v>
      </c>
      <c r="D3" s="8" t="s">
        <v>60</v>
      </c>
      <c r="F3" s="10">
        <v>30</v>
      </c>
      <c r="G3" s="8" t="s">
        <v>61</v>
      </c>
      <c r="H3" s="8">
        <v>22</v>
      </c>
      <c r="I3" s="8">
        <v>660</v>
      </c>
      <c r="J3" s="11">
        <f ca="1">TODAY()+30</f>
        <v>44881</v>
      </c>
      <c r="Q3" s="8" t="s">
        <v>65</v>
      </c>
    </row>
  </sheetData>
  <conditionalFormatting sqref="Q1:Q1048576">
    <cfRule type="cellIs" dxfId="1" priority="1" operator="equal">
      <formula>"N"</formula>
    </cfRule>
    <cfRule type="cellIs" dxfId="0" priority="2" operator="equal">
      <formula>"Y"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</vt:lpstr>
      <vt:lpstr>ARC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Munmun Das</dc:creator>
  <cp:lastModifiedBy>Das, Munmun</cp:lastModifiedBy>
  <dcterms:created xsi:type="dcterms:W3CDTF">2020-06-22T02:02:54Z</dcterms:created>
  <dcterms:modified xsi:type="dcterms:W3CDTF">2022-10-16T19:49:50Z</dcterms:modified>
</cp:coreProperties>
</file>